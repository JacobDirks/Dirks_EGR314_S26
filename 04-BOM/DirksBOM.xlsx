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Desktop\J2DIndivGithub\Classwork\JacobDirksEGR314.github.io\docs\04-BOM\"/>
    </mc:Choice>
  </mc:AlternateContent>
  <xr:revisionPtr revIDLastSave="0" documentId="8_{DD1A294F-4811-41D4-AF53-2EA6A489890B}" xr6:coauthVersionLast="47" xr6:coauthVersionMax="47" xr10:uidLastSave="{00000000-0000-0000-0000-000000000000}"/>
  <bookViews>
    <workbookView xWindow="12165" yWindow="0" windowWidth="16635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D39" i="1"/>
  <c r="E39" i="1"/>
  <c r="F39" i="1" s="1"/>
  <c r="D40" i="1"/>
  <c r="E40" i="1"/>
  <c r="F40" i="1" s="1"/>
  <c r="P40" i="1"/>
  <c r="P39" i="1"/>
  <c r="Q31" i="1"/>
  <c r="D20" i="1"/>
  <c r="E20" i="1"/>
  <c r="F20" i="1" s="1"/>
  <c r="P20" i="1"/>
  <c r="P10" i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P38" i="1"/>
  <c r="P37" i="1"/>
  <c r="P36" i="1"/>
  <c r="P35" i="1"/>
  <c r="P34" i="1"/>
  <c r="P33" i="1"/>
  <c r="P32" i="1"/>
  <c r="P30" i="1"/>
  <c r="P31" i="1" s="1"/>
  <c r="P29" i="1"/>
  <c r="P28" i="1"/>
  <c r="P27" i="1"/>
  <c r="P26" i="1"/>
  <c r="P25" i="1"/>
  <c r="P24" i="1"/>
  <c r="P23" i="1"/>
  <c r="P22" i="1"/>
  <c r="P21" i="1"/>
  <c r="P19" i="1"/>
  <c r="P18" i="1"/>
  <c r="P17" i="1"/>
  <c r="P16" i="1"/>
  <c r="P15" i="1"/>
  <c r="P14" i="1"/>
  <c r="P13" i="1"/>
  <c r="P12" i="1"/>
  <c r="P11" i="1"/>
  <c r="P9" i="1"/>
  <c r="P8" i="1"/>
  <c r="P7" i="1"/>
  <c r="P6" i="1"/>
  <c r="P5" i="1"/>
  <c r="P4" i="1"/>
  <c r="P3" i="1"/>
  <c r="D3" i="1"/>
  <c r="D41" i="1" l="1"/>
  <c r="F41" i="1"/>
</calcChain>
</file>

<file path=xl/sharedStrings.xml><?xml version="1.0" encoding="utf-8"?>
<sst xmlns="http://schemas.openxmlformats.org/spreadsheetml/2006/main" count="319" uniqueCount="262">
  <si>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</si>
  <si>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</si>
  <si>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</si>
  <si>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</si>
  <si>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</si>
  <si>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</si>
  <si>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</si>
  <si>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</si>
  <si>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</si>
  <si>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</si>
  <si>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</si>
  <si>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</si>
  <si>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</si>
  <si>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</si>
  <si>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</si>
  <si>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</si>
  <si>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</si>
  <si>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S1</t>
  </si>
  <si>
    <t>ESP 32 - Wroom N8</t>
  </si>
  <si>
    <t>8 Pin Ribbon Cable</t>
  </si>
  <si>
    <t>8 Pin Connector</t>
  </si>
  <si>
    <t>Switch button</t>
  </si>
  <si>
    <t>C1,C7</t>
  </si>
  <si>
    <t>C2,C3</t>
  </si>
  <si>
    <t>C4</t>
  </si>
  <si>
    <t>C5,C10</t>
  </si>
  <si>
    <t>C6</t>
  </si>
  <si>
    <t>C8</t>
  </si>
  <si>
    <t>C23,C24,C25,C26,C27,C28</t>
  </si>
  <si>
    <t>C9,C12,C14,C15</t>
  </si>
  <si>
    <t>C13</t>
  </si>
  <si>
    <t>C11,C16,C18,C21,C22,C30,C32</t>
  </si>
  <si>
    <t>C17,C19,C20,C29,C31</t>
  </si>
  <si>
    <t>D5</t>
  </si>
  <si>
    <t>D1,D2,D3,D4,D6</t>
  </si>
  <si>
    <t>F1</t>
  </si>
  <si>
    <t>F2</t>
  </si>
  <si>
    <t>J1</t>
  </si>
  <si>
    <t>J2</t>
  </si>
  <si>
    <t>J3, J4</t>
  </si>
  <si>
    <t>L2</t>
  </si>
  <si>
    <t>L1</t>
  </si>
  <si>
    <t>M1,M2</t>
  </si>
  <si>
    <t>M3, M4, M5</t>
  </si>
  <si>
    <t>R1</t>
  </si>
  <si>
    <t>R2</t>
  </si>
  <si>
    <t>R3</t>
  </si>
  <si>
    <t>R4</t>
  </si>
  <si>
    <t>R5</t>
  </si>
  <si>
    <t>R6,R7,R10,R11</t>
  </si>
  <si>
    <t>R9</t>
  </si>
  <si>
    <t>SW1,SW2</t>
  </si>
  <si>
    <t>U1,U2,U3</t>
  </si>
  <si>
    <t>U4</t>
  </si>
  <si>
    <t>VR1</t>
  </si>
  <si>
    <t>VR2</t>
  </si>
  <si>
    <t>Total Production cost</t>
  </si>
  <si>
    <t>Total Prototype cost</t>
  </si>
  <si>
    <t xml:space="preserve">Espressif </t>
  </si>
  <si>
    <t>ESP32-S3-WROOM-1-N8</t>
  </si>
  <si>
    <t>Digikey</t>
  </si>
  <si>
    <t>5407-ESP32-S3-WROOM-1-N8CT-ND</t>
  </si>
  <si>
    <t>Buck Switching Regulator IC Positive Fixed 3.3V 1 Output 2A SOT-23-6 Thin, TSOT-23-6</t>
  </si>
  <si>
    <t>Diode Incorporated</t>
  </si>
  <si>
    <t>AP63203WU-7</t>
  </si>
  <si>
    <t>AP63203WU-7DICT-ND</t>
  </si>
  <si>
    <t>Buck Switching Regulator IC Positive Adjustable 1.225V 1 Output 2.5A 20-PowerTSSOP (0.173", 4.40mm Width)</t>
  </si>
  <si>
    <t>Texas Instruments</t>
  </si>
  <si>
    <t>LM5005MHX/NOPB</t>
  </si>
  <si>
    <t>LM5005MHX/NOPBCT-ND</t>
  </si>
  <si>
    <t>Positional Rotation DC Motor Servomotor, RC (Hobby) 3 ~ 6VDC</t>
  </si>
  <si>
    <t>Adafruit</t>
  </si>
  <si>
    <t>1528-4326-ND</t>
  </si>
  <si>
    <t>Power Barrel Connector Jack 2.00mm ID (0.079"), 5.50mm OD (0.217") Through Hole, Right Angle</t>
  </si>
  <si>
    <t>Same Sky</t>
  </si>
  <si>
    <t>PJ-102AH</t>
  </si>
  <si>
    <t>CP-102AH-ND</t>
  </si>
  <si>
    <t>RES 20 OHM 5% 2W 2512</t>
  </si>
  <si>
    <t>Yageo</t>
  </si>
  <si>
    <t>AC2512JK-7W20RL</t>
  </si>
  <si>
    <t>https://yageogroup.com/content/datasheet/asset/file/PYU-AC_51_ROHS_L</t>
  </si>
  <si>
    <t>13-AC2512JK-7W20RLCT-ND</t>
  </si>
  <si>
    <t>RES 10 OHM 5% 2W 2512</t>
  </si>
  <si>
    <t>Bourns</t>
  </si>
  <si>
    <t>CRM2512-JW-100ELF</t>
  </si>
  <si>
    <t>https://www.bourns.com/docs/product-datasheets/crm.pdf</t>
  </si>
  <si>
    <t>CRM2512-JW-100ELFCT-ND</t>
  </si>
  <si>
    <t>RES 5.11K OHM 1% 2W 2512</t>
  </si>
  <si>
    <t>CRM2512-FX-5111ELF</t>
  </si>
  <si>
    <t>118-CRM2512-FX-5111ELFCT-ND</t>
  </si>
  <si>
    <t>RES 49.9K OHM 1% 2W 2512</t>
  </si>
  <si>
    <t>CRM2512-FX-4992ELF</t>
  </si>
  <si>
    <t>118-CRM2512-FX-4992ELFCT-ND</t>
  </si>
  <si>
    <t>CAP 0805 250V 33 NF X7R</t>
  </si>
  <si>
    <t>CC0805KKX7RYBB333</t>
  </si>
  <si>
    <t>13-CC0805KKX7RYBB333CT-ND</t>
  </si>
  <si>
    <t>CAP CER 150UF 6.3V X5R 1210</t>
  </si>
  <si>
    <t>Samsung Electro-Mechanics</t>
  </si>
  <si>
    <t>CL32A157MQVNNNE</t>
  </si>
  <si>
    <t>1276-3367-1-ND</t>
  </si>
  <si>
    <t>CAP CER 0.1UF 10V X5R 0201</t>
  </si>
  <si>
    <t>Murata</t>
  </si>
  <si>
    <t>GRM033R61A104KE15D</t>
  </si>
  <si>
    <t>490-5881-1-ND</t>
  </si>
  <si>
    <t>CAP CER 22UF 6.3V 20% X5R 0402</t>
  </si>
  <si>
    <t>GRM155R60J226ME11D</t>
  </si>
  <si>
    <t>490-GRM155R60J226ME11DCT-ND</t>
  </si>
  <si>
    <t>CAP CER 0.022UF 6.3V X5R 0201</t>
  </si>
  <si>
    <t>GRM033R60J223KE01D</t>
  </si>
  <si>
    <t>490-3169-1-ND</t>
  </si>
  <si>
    <t>CAP CER 10UF 16V X5R 0805</t>
  </si>
  <si>
    <t>Taiyo Yuden</t>
  </si>
  <si>
    <t>EMK212BJ106KG-T</t>
  </si>
  <si>
    <t>587-1295-1-ND</t>
  </si>
  <si>
    <t>CAP CER 330PF 16V X7R 0201</t>
  </si>
  <si>
    <t>GRM033R71C331KA01D</t>
  </si>
  <si>
    <t>490-11359-1-ND</t>
  </si>
  <si>
    <t>CAP CER 0.47UF 6.3V X5R 0201</t>
  </si>
  <si>
    <t>GRM033R60J474KE90D</t>
  </si>
  <si>
    <t>490-10409-1-ND</t>
  </si>
  <si>
    <t>CAP CER 2.2UF 16V X5R 0603</t>
  </si>
  <si>
    <t>CL10A225KO8NNNC</t>
  </si>
  <si>
    <t>1276-1040-1-ND</t>
  </si>
  <si>
    <t>CAP CER 10000PF 10V X7S 01005</t>
  </si>
  <si>
    <t>GRM022C71A103KE01L</t>
  </si>
  <si>
    <t>490-GRM022C71A103KE01LCT-ND</t>
  </si>
  <si>
    <t>USB - micro B USB 2.0</t>
  </si>
  <si>
    <t>GCT</t>
  </si>
  <si>
    <t>USB3131-30-0230-A</t>
  </si>
  <si>
    <t>2073-USB3131-30-0230-ACT-ND</t>
  </si>
  <si>
    <t>2 Pin Screw Terminal</t>
  </si>
  <si>
    <t>3 Pin Screw Terminal</t>
  </si>
  <si>
    <t>Adam Tech</t>
  </si>
  <si>
    <t>EBWA-03-A</t>
  </si>
  <si>
    <t>2057-EBWA-03-A-ND</t>
  </si>
  <si>
    <t>TB002-500-02BE</t>
  </si>
  <si>
    <t>102-6145-ND</t>
  </si>
  <si>
    <t>CAP CER 100UF 16V X5R 1210</t>
  </si>
  <si>
    <t>EMK325ABJ107MM-T</t>
  </si>
  <si>
    <t>587-3152-1-ND</t>
  </si>
  <si>
    <t>FIXED IND 4.7UH 2.5A 147.2 MOHM</t>
  </si>
  <si>
    <t>TDK</t>
  </si>
  <si>
    <t>SPM4020T-4R7M-LR</t>
  </si>
  <si>
    <t>445-174477-1-ND</t>
  </si>
  <si>
    <t>FIXED IND 33UH 2.5A 93.6 MOHM</t>
  </si>
  <si>
    <t>1274AS-H-330M=P3</t>
  </si>
  <si>
    <t>490-10851-1-ND</t>
  </si>
  <si>
    <t>FUSE GLASS 4A 250VAC 5X20MM</t>
  </si>
  <si>
    <t>Schurter</t>
  </si>
  <si>
    <t>486-1222-ND</t>
  </si>
  <si>
    <t>FUSE GLASS 5A 250VAC 5X20MM</t>
  </si>
  <si>
    <t>486-1223-ND</t>
  </si>
  <si>
    <t>DIODE SCHOTTKY 100V 3.5A TO252AA</t>
  </si>
  <si>
    <t>Vishay</t>
  </si>
  <si>
    <t>VS-30WQ10FNTR-M3</t>
  </si>
  <si>
    <t>112-VS-30WQ10FNTR-M3CT-ND</t>
  </si>
  <si>
    <t>LED GREEN CLEAR SMD</t>
  </si>
  <si>
    <t>Lite-On</t>
  </si>
  <si>
    <t>LTST-C170GKT</t>
  </si>
  <si>
    <t>160-1179-1-ND</t>
  </si>
  <si>
    <t>SWITCH PB DPDT 0.1A 30V</t>
  </si>
  <si>
    <t>TL2233OA</t>
  </si>
  <si>
    <t>E-Switch</t>
  </si>
  <si>
    <t>141-TL2233OACT-ND</t>
  </si>
  <si>
    <t>STANDARD MOTOR 11605 RPM 5V</t>
  </si>
  <si>
    <t>NMB</t>
  </si>
  <si>
    <t>PPN7PA12C1</t>
  </si>
  <si>
    <t>942-PPN7PA12C1-ND</t>
  </si>
  <si>
    <t>IC HALF BRIDGE DRIVER 6A 12DSO</t>
  </si>
  <si>
    <t>Infineon</t>
  </si>
  <si>
    <t>IFX9201SGAUMA1</t>
  </si>
  <si>
    <t>IFX9201SGAUMA1CT-ND</t>
  </si>
  <si>
    <t>RES 220 OHM 5% 2W 2512</t>
  </si>
  <si>
    <t>TE Connectivity Passive</t>
  </si>
  <si>
    <t>CRGH2512J220R</t>
  </si>
  <si>
    <t>A126460CT-ND</t>
  </si>
  <si>
    <t>RES 1.65K OHM 1% 2W 1206</t>
  </si>
  <si>
    <t>3503G2B1K65FTD</t>
  </si>
  <si>
    <t>1712-3503G2B1K65FTDCT-ND</t>
  </si>
  <si>
    <t>RES 10K OHM 1% 2W 2512</t>
  </si>
  <si>
    <t>CRGP2512F10K</t>
  </si>
  <si>
    <t>A130733CT-ND</t>
  </si>
  <si>
    <t xml:space="preserve">https://www.digikey.com/en/products/detail/espressif-systems/ESP32-S3-WROOM-1-N8/15200089 </t>
  </si>
  <si>
    <t xml:space="preserve">https://www.digikey.com/en/products/detail/murata-electronics/GRM033R71C331KA01D/2543513 </t>
  </si>
  <si>
    <t xml:space="preserve">https://www.digikey.com/en/products/detail/murata-electronics/GRM022C71A103KE01L/16820994 </t>
  </si>
  <si>
    <t xml:space="preserve">https://www.digikey.com/en/products/detail/murata-electronics/GRM033R60J223KE01D/702435 </t>
  </si>
  <si>
    <t xml:space="preserve">https://www.digikey.com/en/products/detail/yageo/CC0805KKX7RYBB333/20376243 </t>
  </si>
  <si>
    <t xml:space="preserve">https://www.digikey.com/en/products/detail/murata-electronics/GRM033R61A104KE15D/2269163 </t>
  </si>
  <si>
    <t xml:space="preserve">https://www.digikey.com/en/products/detail/murata-electronics/GRM033R60J474KE90D/5027494 </t>
  </si>
  <si>
    <t xml:space="preserve">https://www.digikey.com/en/products/detail/samsung-electro-mechanics/CL10A225KO8NNNC/3886698 </t>
  </si>
  <si>
    <t xml:space="preserve">https://www.digikey.com/en/products/detail/taiyo-yuden/EMK212BJ106KG-T/930647 </t>
  </si>
  <si>
    <t xml:space="preserve">https://www.digikey.com/en/products/detail/murata-electronics/GRM155R60J226ME11D/5253988 </t>
  </si>
  <si>
    <t xml:space="preserve">https://www.digikey.com/en/products/detail/taiyo-yuden/EMK325ABJ107MM-T/2774763 </t>
  </si>
  <si>
    <t xml:space="preserve">https://www.digikey.com/en/products/detail/bourns-inc/CRM2512-JW-100ELF/2563944 </t>
  </si>
  <si>
    <t xml:space="preserve">https://www.digikey.com/en/products/detail/samsung-electro-mechanics/CL32A157MQVNNNE/3889025 </t>
  </si>
  <si>
    <t xml:space="preserve">https://www.digikey.com/en/products/detail/yageo/AC2512JK-7W20RL/17011699 </t>
  </si>
  <si>
    <t xml:space="preserve">https://www.digikey.com/en/products/detail/te-connectivity-passive-product/CRGH2512J220R/2386098 </t>
  </si>
  <si>
    <t xml:space="preserve">https://www.digikey.com/en/products/detail/te-connectivity-passive-product/3503G2B1K65FTD/16808524 </t>
  </si>
  <si>
    <t xml:space="preserve">https://www.digikey.com/en/products/detail/bourns-inc/CRM2512-FX-5111ELF/7314836 </t>
  </si>
  <si>
    <t xml:space="preserve">https://www.digikey.com/en/products/detail/te-connectivity-passive-product/CRGP2512F10K/8577335 </t>
  </si>
  <si>
    <t xml:space="preserve">https://www.digikey.com/en/products/detail/bourns-inc/CRM2512-FX-4992ELF/4698402 </t>
  </si>
  <si>
    <t xml:space="preserve">https://www.digikey.com/en/products/detail/vishay-general-semiconductor-diodes-division/VS-30WQ10FNTR-M3/4933700 </t>
  </si>
  <si>
    <t xml:space="preserve">https://www.digikey.com/en/products/detail/liteon/LTST-C170GKT/269226 </t>
  </si>
  <si>
    <t xml:space="preserve">https://www.digikey.com/en/products/detail/schurter-inc/0034-3124/639681 </t>
  </si>
  <si>
    <t xml:space="preserve">https://www.digikey.com/en/products/detail/schurter-inc/0034-3123/639683 </t>
  </si>
  <si>
    <t xml:space="preserve">https://www.digikey.com/en/products/detail/tdk-corporation/SPM4020T-4R7M-LR/5962341 </t>
  </si>
  <si>
    <t xml:space="preserve">https://www.digikey.com/en/products/detail/murata-electronics/1274AS-H-330M-P3/5271492 </t>
  </si>
  <si>
    <t xml:space="preserve">https://www.digikey.com/en/products/detail/adafruit-industries-llc/4326/10419470 </t>
  </si>
  <si>
    <t xml:space="preserve">https://www.digikey.com/en/products/detail/nmb-technologies-corporation/PPN7PA12C1/2417079 </t>
  </si>
  <si>
    <t xml:space="preserve">https://www.digikey.com/en/products/detail/same-sky-formerly-cui-devices/PJ-102AH/408448 </t>
  </si>
  <si>
    <t xml:space="preserve">https://www.digikey.com/en/products/detail/gct/USB3131-30-0230-A/9859642 </t>
  </si>
  <si>
    <t xml:space="preserve">https://www.digikey.com/en/products/detail/e-switch/TL2233OA/15220943 </t>
  </si>
  <si>
    <t xml:space="preserve">https://www.digikey.com/en/products/detail/infineon-technologies/IFX9201SGAUMA1/5415542 </t>
  </si>
  <si>
    <t xml:space="preserve">https://www.digikey.com/en/products/detail/texas-instruments/LM5005MHX-NOPB/1871800 </t>
  </si>
  <si>
    <t xml:space="preserve">https://www.digikey.com/en/products/detail/diodes-incorporated/AP63203WU-7/9858426 </t>
  </si>
  <si>
    <t xml:space="preserve">https://www.digikey.com/en/products/detail/adam-tech/EBWA-03-A/9830974 </t>
  </si>
  <si>
    <t xml:space="preserve">https://www.digikey.com/en/products/detail/same-sky-formerly-cui-devices/TB002-500-02BE/10064069 </t>
  </si>
  <si>
    <t xml:space="preserve">https://documentation.espressif.com/esp32-s3-wroom-1_wroom-1u_datasheet_en.pdf </t>
  </si>
  <si>
    <t xml:space="preserve">https://search.murata.co.jp/Ceramy/image/img/A01X/G101/ENG/GRM033R71C331KA01-01A.pdf </t>
  </si>
  <si>
    <t xml:space="preserve">https://search.murata.co.jp/Ceramy/image/img/A01X/G101/ENG/GRM022C71A103KE01-01A.pdf </t>
  </si>
  <si>
    <t xml:space="preserve">https://search.murata.co.jp/Ceramy/image/img/A01X/G101/ENG/GRM033R60J223KE01-01.pdf </t>
  </si>
  <si>
    <t xml:space="preserve">https://www.yageo.com/en/Chart/Download/pdf/CC0805KKX7RYBB333 </t>
  </si>
  <si>
    <t xml:space="preserve">https://search.murata.co.jp/Ceramy/image/img/A01X/G101/ENG/GRM033R61A104KE15-01A.pdf </t>
  </si>
  <si>
    <t xml:space="preserve">https://search.murata.co.jp/Ceramy/image/img/A01X/G101/ENG/GRM033R60J474KE90-01.pdf </t>
  </si>
  <si>
    <t xml:space="preserve">https://mm.digikey.com/Volume0/opasdata/d220001/medias/docus/421/CL10A225KO8NNNC_Spec.pdf </t>
  </si>
  <si>
    <t xml:space="preserve">https://mm.digikey.com/Volume0/opasdata/d220001/medias/docus/8412/587_mlcc01hqAUTOe.pdf </t>
  </si>
  <si>
    <t xml:space="preserve">https://search.murata.co.jp/Ceramy/image/img/A01X/G101/ENG/GRM155R60J226ME11-01A.pdf </t>
  </si>
  <si>
    <t xml:space="preserve">https://weblib.samsungsem.com/mlcc/mlcc-ec-data-sheet.do?partNumber=CL32A157MQVNNN </t>
  </si>
  <si>
    <t xml:space="preserve">https://www.te.com/commerce/DocumentDelivery/DDEController?Action=srchrtrv&amp;DocNm=1309350_PASSIVE_COMPONENT&amp;DocType=CS&amp;DocLang=English </t>
  </si>
  <si>
    <t xml:space="preserve">https://www.te.com/commerce/DocumentDelivery/DDEController?Action=srchrtrv&amp;DocNm=1773270-4&amp;DocType=Data%20Sheet&amp;DocLang=English&amp;DocFormat=pdf&amp;PartCntxt=5-2176526-8 </t>
  </si>
  <si>
    <t xml:space="preserve">https://www.bourns.com/docs/product-datasheets/crm.pdf </t>
  </si>
  <si>
    <t xml:space="preserve">https://www.te.com/commerce/DocumentDelivery/DDEController?Action=srchrtrv&amp;DocNm=9-1773463-9&amp;DocType=Data%20Sheet&amp;DocLang=English&amp;DocFormat=pdf&amp;PartCntxt=3-2176325-7 </t>
  </si>
  <si>
    <t xml:space="preserve">https://www.vishay.com/docs/93299/vs-30wq10fn.pdf </t>
  </si>
  <si>
    <t xml:space="preserve">https://mm.digikey.com/Volume0/opasdata/d220001/medias/docus/895/LTST-C170GKT.pdf </t>
  </si>
  <si>
    <t xml:space="preserve">https://www.digikey.com/en/models/639681 </t>
  </si>
  <si>
    <t xml:space="preserve">https://www.schurter.com/en/datasheet/typ_FST_5x20.pdf </t>
  </si>
  <si>
    <t xml:space="preserve">https://product.tdk.com/en/system/files?file=dam/doc/product/inductor/inductor/smd/catalog/inductor_commercial_power_spm4020-lr_en.pdf </t>
  </si>
  <si>
    <t xml:space="preserve">https://search.murata.co.jp/Ceramy/image/img/P02/J(E)TE243B-0058_DEM10050C_reference.pdf </t>
  </si>
  <si>
    <t xml:space="preserve">https://mm.digikey.com/Volume0/opasdata/d220001/medias/docus/694/4326_Web.pdf </t>
  </si>
  <si>
    <t xml:space="preserve">https://mm.digikey.com/Volume0/opasdata/d220001/medias/docus/6448/ppn7%20Datasheet.pdf </t>
  </si>
  <si>
    <t xml:space="preserve">https://www.cuidevices.com/product/resource/pj-102ah.pdf </t>
  </si>
  <si>
    <t xml:space="preserve">https://gct.co/files/specs/usb3131-spec.pdf </t>
  </si>
  <si>
    <t xml:space="preserve">https://configured-product-images.s3.amazonaws.com/Datasheets/TL2233.pdf </t>
  </si>
  <si>
    <t xml:space="preserve">https://www.infineon.com/dgdl/Infineon-IFX9201SG-DS-v01_01-EN.pdf?fileId=5546d4624cb7f111014d2e8916795dea&amp;ack=t </t>
  </si>
  <si>
    <t xml:space="preserve">https://www.ti.com/general/docs/suppproductinfo.tsp?distId=10&amp;gotoUrl=https%3A%2F%2Fwww.ti.com%2Flit%2Fgpn%2Flm5005 </t>
  </si>
  <si>
    <t xml:space="preserve">https://www.diodes.com/assets/Datasheets/AP63200-AP63201-AP63203-AP63205.pdf </t>
  </si>
  <si>
    <t xml:space="preserve">https://app.adam-tech.com/products/download/data_sheet/204239/ebwa-xx-a-data-sheet.pdf </t>
  </si>
  <si>
    <t xml:space="preserve">https://www.cuidevices.com/product/resource/tb002-500.pdf </t>
  </si>
  <si>
    <t>Bill of Materials Motor Subsystem</t>
  </si>
  <si>
    <t>Molex</t>
  </si>
  <si>
    <t xml:space="preserve">https://www.digikey.com/en/products/detail/molex/0702460801/760165 </t>
  </si>
  <si>
    <t>900-0702460801-ND</t>
  </si>
  <si>
    <t>Amphenol</t>
  </si>
  <si>
    <t>10124667-Z0025YYLF</t>
  </si>
  <si>
    <t xml:space="preserve">https://cdn.amphenol-cs.com/media/wysiwyg/files/drawing/10124667.pdf </t>
  </si>
  <si>
    <t xml:space="preserve">https://www.digikey.com/en/products/detail/amphenol-cs-fci/10124667-Z0025YYLF/7590774  </t>
  </si>
  <si>
    <t xml:space="preserve">https://www.molex.com/en-us/products/part-detail/702460801?display=pdf </t>
  </si>
  <si>
    <t>10124667-Z0025YYLF-ND</t>
  </si>
  <si>
    <t>TS02-66-55-BK-100-LCR-D</t>
  </si>
  <si>
    <t xml:space="preserve">https://www.digikey.com/en/products/detail/same-sky-formerly-cui-devices-/TS02-66-55-BK-100-LCR-D/15634297?gclsrc=aw.ds&amp;gad_source=1&amp;gad_campaignid=21273973101&amp;gbraid=0AAAAADrbLliDycjgJofPVWAUnaFDHZ4Dd&amp;gclid=Cj0KCQiA8KTNBhD_ARIsAOvp6DJm3WPshQnES_nFbYzMUKpoAK0on-aVhdqwQv7LWtPFiyFmBonGw60aAhTiEALw_wcB </t>
  </si>
  <si>
    <t xml:space="preserve">https://www.sameskydevices.com/product/resource/ts02.pdf </t>
  </si>
  <si>
    <t>2223-TS02-66-55-BK-100-LCR-D-ND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</si>
</sst>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4" fontId="3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4" fillId="0" borderId="1" xfId="1" applyBorder="1"/>
    <xf numFmtId="0" fontId="4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adafruit-industries-llc/4326/10419470" TargetMode="External"/><Relationship Id="rId21" Type="http://schemas.openxmlformats.org/officeDocument/2006/relationships/hyperlink" Target="https://www.digikey.com/en/products/detail/liteon/LTST-C170GKT/269226" TargetMode="External"/><Relationship Id="rId42" Type="http://schemas.openxmlformats.org/officeDocument/2006/relationships/hyperlink" Target="https://search.murata.co.jp/Ceramy/image/img/A01X/G101/ENG/GRM033R60J474KE90-01.pdf" TargetMode="External"/><Relationship Id="rId47" Type="http://schemas.openxmlformats.org/officeDocument/2006/relationships/hyperlink" Target="https://weblib.samsungsem.com/mlcc/mlcc-ec-data-sheet.do?partNumber=CL32A157MQVNNN" TargetMode="External"/><Relationship Id="rId63" Type="http://schemas.openxmlformats.org/officeDocument/2006/relationships/hyperlink" Target="https://gct.co/files/specs/usb3131-spec.pdf" TargetMode="External"/><Relationship Id="rId68" Type="http://schemas.openxmlformats.org/officeDocument/2006/relationships/hyperlink" Target="https://app.adam-tech.com/products/download/data_sheet/204239/ebwa-xx-a-data-sheet.pdf" TargetMode="External"/><Relationship Id="rId2" Type="http://schemas.openxmlformats.org/officeDocument/2006/relationships/hyperlink" Target="https://www.digikey.com/en/products/detail/murata-electronics/GRM033R71C331KA01D/2543513" TargetMode="External"/><Relationship Id="rId16" Type="http://schemas.openxmlformats.org/officeDocument/2006/relationships/hyperlink" Target="https://www.digikey.com/en/products/detail/te-connectivity-passive-product/3503G2B1K65FTD/16808524" TargetMode="External"/><Relationship Id="rId29" Type="http://schemas.openxmlformats.org/officeDocument/2006/relationships/hyperlink" Target="https://www.digikey.com/en/products/detail/gct/USB3131-30-0230-A/9859642" TargetMode="External"/><Relationship Id="rId11" Type="http://schemas.openxmlformats.org/officeDocument/2006/relationships/hyperlink" Target="https://www.digikey.com/en/products/detail/taiyo-yuden/EMK325ABJ107MM-T/2774763" TargetMode="External"/><Relationship Id="rId24" Type="http://schemas.openxmlformats.org/officeDocument/2006/relationships/hyperlink" Target="https://www.digikey.com/en/products/detail/tdk-corporation/SPM4020T-4R7M-LR/5962341" TargetMode="External"/><Relationship Id="rId32" Type="http://schemas.openxmlformats.org/officeDocument/2006/relationships/hyperlink" Target="https://www.digikey.com/en/products/detail/texas-instruments/LM5005MHX-NOPB/1871800" TargetMode="External"/><Relationship Id="rId37" Type="http://schemas.openxmlformats.org/officeDocument/2006/relationships/hyperlink" Target="https://search.murata.co.jp/Ceramy/image/img/A01X/G101/ENG/GRM033R71C331KA01-01A.pdf" TargetMode="External"/><Relationship Id="rId40" Type="http://schemas.openxmlformats.org/officeDocument/2006/relationships/hyperlink" Target="https://www.yageo.com/en/Chart/Download/pdf/CC0805KKX7RYBB333" TargetMode="External"/><Relationship Id="rId45" Type="http://schemas.openxmlformats.org/officeDocument/2006/relationships/hyperlink" Target="https://search.murata.co.jp/Ceramy/image/img/A01X/G101/ENG/GRM155R60J226ME11-01A.pdf" TargetMode="External"/><Relationship Id="rId53" Type="http://schemas.openxmlformats.org/officeDocument/2006/relationships/hyperlink" Target="https://www.te.com/commerce/DocumentDelivery/DDEController?Action=srchrtrv&amp;DocNm=9-1773463-9&amp;DocType=Data%20Sheet&amp;DocLang=English&amp;DocFormat=pdf&amp;PartCntxt=3-2176325-7" TargetMode="External"/><Relationship Id="rId58" Type="http://schemas.openxmlformats.org/officeDocument/2006/relationships/hyperlink" Target="https://www.schurter.com/en/datasheet/typ_FST_5x20.pdf" TargetMode="External"/><Relationship Id="rId66" Type="http://schemas.openxmlformats.org/officeDocument/2006/relationships/hyperlink" Target="https://www.ti.com/general/docs/suppproductinfo.tsp?distId=10&amp;gotoUrl=https%3A%2F%2Fwww.ti.com%2Flit%2Fgpn%2Flm5005" TargetMode="External"/><Relationship Id="rId74" Type="http://schemas.openxmlformats.org/officeDocument/2006/relationships/hyperlink" Target="https://www.molex.com/en-us/products/part-detail/702460801?display=pdf" TargetMode="External"/><Relationship Id="rId5" Type="http://schemas.openxmlformats.org/officeDocument/2006/relationships/hyperlink" Target="https://www.digikey.com/en/products/detail/yageo/CC0805KKX7RYBB333/20376243" TargetMode="External"/><Relationship Id="rId61" Type="http://schemas.openxmlformats.org/officeDocument/2006/relationships/hyperlink" Target="https://mm.digikey.com/Volume0/opasdata/d220001/medias/docus/694/4326_Web.pdf" TargetMode="External"/><Relationship Id="rId19" Type="http://schemas.openxmlformats.org/officeDocument/2006/relationships/hyperlink" Target="https://www.digikey.com/en/products/detail/bourns-inc/CRM2512-FX-4992ELF/4698402" TargetMode="External"/><Relationship Id="rId14" Type="http://schemas.openxmlformats.org/officeDocument/2006/relationships/hyperlink" Target="https://www.digikey.com/en/products/detail/yageo/AC2512JK-7W20RL/17011699" TargetMode="External"/><Relationship Id="rId22" Type="http://schemas.openxmlformats.org/officeDocument/2006/relationships/hyperlink" Target="https://www.digikey.com/en/products/detail/schurter-inc/0034-3124/639681" TargetMode="External"/><Relationship Id="rId27" Type="http://schemas.openxmlformats.org/officeDocument/2006/relationships/hyperlink" Target="https://www.digikey.com/en/products/detail/nmb-technologies-corporation/PPN7PA12C1/2417079" TargetMode="External"/><Relationship Id="rId30" Type="http://schemas.openxmlformats.org/officeDocument/2006/relationships/hyperlink" Target="https://www.digikey.com/en/products/detail/e-switch/TL2233OA/15220943" TargetMode="External"/><Relationship Id="rId35" Type="http://schemas.openxmlformats.org/officeDocument/2006/relationships/hyperlink" Target="https://www.digikey.com/en/products/detail/same-sky-formerly-cui-devices/TB002-500-02BE/10064069" TargetMode="External"/><Relationship Id="rId43" Type="http://schemas.openxmlformats.org/officeDocument/2006/relationships/hyperlink" Target="https://mm.digikey.com/Volume0/opasdata/d220001/medias/docus/421/CL10A225KO8NNNC_Spec.pdf" TargetMode="External"/><Relationship Id="rId48" Type="http://schemas.openxmlformats.org/officeDocument/2006/relationships/hyperlink" Target="https://www.bourns.com/docs/product-datasheets/crm.pdf" TargetMode="External"/><Relationship Id="rId56" Type="http://schemas.openxmlformats.org/officeDocument/2006/relationships/hyperlink" Target="https://mm.digikey.com/Volume0/opasdata/d220001/medias/docus/895/LTST-C170GKT.pdf" TargetMode="External"/><Relationship Id="rId64" Type="http://schemas.openxmlformats.org/officeDocument/2006/relationships/hyperlink" Target="https://configured-product-images.s3.amazonaws.com/Datasheets/TL2233.pdf" TargetMode="External"/><Relationship Id="rId69" Type="http://schemas.openxmlformats.org/officeDocument/2006/relationships/hyperlink" Target="https://www.cuidevices.com/product/resource/tb002-500.pdf" TargetMode="External"/><Relationship Id="rId8" Type="http://schemas.openxmlformats.org/officeDocument/2006/relationships/hyperlink" Target="https://www.digikey.com/en/products/detail/samsung-electro-mechanics/CL10A225KO8NNNC/3886698" TargetMode="External"/><Relationship Id="rId51" Type="http://schemas.openxmlformats.org/officeDocument/2006/relationships/hyperlink" Target="https://www.te.com/commerce/DocumentDelivery/DDEController?Action=srchrtrv&amp;DocNm=1773270-4&amp;DocType=Data%20Sheet&amp;DocLang=English&amp;DocFormat=pdf&amp;PartCntxt=5-2176526-8" TargetMode="External"/><Relationship Id="rId72" Type="http://schemas.openxmlformats.org/officeDocument/2006/relationships/hyperlink" Target="https://cdn.amphenol-cs.com/media/wysiwyg/files/drawing/10124667.pdf" TargetMode="External"/><Relationship Id="rId3" Type="http://schemas.openxmlformats.org/officeDocument/2006/relationships/hyperlink" Target="https://www.digikey.com/en/products/detail/murata-electronics/GRM022C71A103KE01L/16820994" TargetMode="External"/><Relationship Id="rId12" Type="http://schemas.openxmlformats.org/officeDocument/2006/relationships/hyperlink" Target="https://www.digikey.com/en/products/detail/bourns-inc/CRM2512-JW-100ELF/2563944" TargetMode="External"/><Relationship Id="rId17" Type="http://schemas.openxmlformats.org/officeDocument/2006/relationships/hyperlink" Target="https://www.digikey.com/en/products/detail/bourns-inc/CRM2512-FX-5111ELF/7314836" TargetMode="External"/><Relationship Id="rId25" Type="http://schemas.openxmlformats.org/officeDocument/2006/relationships/hyperlink" Target="https://www.digikey.com/en/products/detail/murata-electronics/1274AS-H-330M-P3/5271492" TargetMode="External"/><Relationship Id="rId33" Type="http://schemas.openxmlformats.org/officeDocument/2006/relationships/hyperlink" Target="https://www.digikey.com/en/products/detail/diodes-incorporated/AP63203WU-7/9858426" TargetMode="External"/><Relationship Id="rId38" Type="http://schemas.openxmlformats.org/officeDocument/2006/relationships/hyperlink" Target="https://search.murata.co.jp/Ceramy/image/img/A01X/G101/ENG/GRM022C71A103KE01-01A.pdf" TargetMode="External"/><Relationship Id="rId46" Type="http://schemas.openxmlformats.org/officeDocument/2006/relationships/hyperlink" Target="https://mm.digikey.com/Volume0/opasdata/d220001/medias/docus/8412/587_mlcc01hqAUTOe.pdf" TargetMode="External"/><Relationship Id="rId59" Type="http://schemas.openxmlformats.org/officeDocument/2006/relationships/hyperlink" Target="https://product.tdk.com/en/system/files?file=dam/doc/product/inductor/inductor/smd/catalog/inductor_commercial_power_spm4020-lr_en.pdf" TargetMode="External"/><Relationship Id="rId67" Type="http://schemas.openxmlformats.org/officeDocument/2006/relationships/hyperlink" Target="https://www.diodes.com/assets/Datasheets/AP63200-AP63201-AP63203-AP63205.pdf" TargetMode="External"/><Relationship Id="rId20" Type="http://schemas.openxmlformats.org/officeDocument/2006/relationships/hyperlink" Target="https://www.digikey.com/en/products/detail/vishay-general-semiconductor-diodes-division/VS-30WQ10FNTR-M3/4933700" TargetMode="External"/><Relationship Id="rId41" Type="http://schemas.openxmlformats.org/officeDocument/2006/relationships/hyperlink" Target="https://search.murata.co.jp/Ceramy/image/img/A01X/G101/ENG/GRM033R61A104KE15-01A.pdf" TargetMode="External"/><Relationship Id="rId54" Type="http://schemas.openxmlformats.org/officeDocument/2006/relationships/hyperlink" Target="https://www.bourns.com/docs/product-datasheets/crm.pdf" TargetMode="External"/><Relationship Id="rId62" Type="http://schemas.openxmlformats.org/officeDocument/2006/relationships/hyperlink" Target="https://mm.digikey.com/Volume0/opasdata/d220001/medias/docus/6448/ppn7%20Datasheet.pdf" TargetMode="External"/><Relationship Id="rId70" Type="http://schemas.openxmlformats.org/officeDocument/2006/relationships/hyperlink" Target="https://www.digikey.com/en/products/detail/molex/0702460801/760165" TargetMode="External"/><Relationship Id="rId75" Type="http://schemas.openxmlformats.org/officeDocument/2006/relationships/hyperlink" Target="https://www.digikey.com/en/products/detail/same-sky-formerly-cui-devices-/TS02-66-55-BK-100-LCR-D/15634297?gclsrc=aw.ds&amp;gad_source=1&amp;gad_campaignid=21273973101&amp;gbraid=0AAAAADrbLliDycjgJofPVWAUnaFDHZ4Dd&amp;gclid=Cj0KCQiA8KTNBhD_ARIsAOvp6DJm3WPshQnES_nFbYzMUKpoAK0on-aVhdqwQv7LWtPFiyFmBonGw60aAhTiEALw_wcB" TargetMode="External"/><Relationship Id="rId1" Type="http://schemas.openxmlformats.org/officeDocument/2006/relationships/hyperlink" Target="https://www.digikey.com/en/products/detail/espressif-systems/ESP32-S3-WROOM-1-N8/15200089" TargetMode="External"/><Relationship Id="rId6" Type="http://schemas.openxmlformats.org/officeDocument/2006/relationships/hyperlink" Target="https://www.digikey.com/en/products/detail/murata-electronics/GRM033R61A104KE15D/2269163" TargetMode="External"/><Relationship Id="rId15" Type="http://schemas.openxmlformats.org/officeDocument/2006/relationships/hyperlink" Target="https://www.digikey.com/en/products/detail/te-connectivity-passive-product/CRGH2512J220R/2386098" TargetMode="External"/><Relationship Id="rId23" Type="http://schemas.openxmlformats.org/officeDocument/2006/relationships/hyperlink" Target="https://www.digikey.com/en/products/detail/schurter-inc/0034-3123/639683" TargetMode="External"/><Relationship Id="rId28" Type="http://schemas.openxmlformats.org/officeDocument/2006/relationships/hyperlink" Target="https://www.digikey.com/en/products/detail/same-sky-formerly-cui-devices/PJ-102AH/408448" TargetMode="External"/><Relationship Id="rId36" Type="http://schemas.openxmlformats.org/officeDocument/2006/relationships/hyperlink" Target="https://documentation.espressif.com/esp32-s3-wroom-1_wroom-1u_datasheet_en.pdf" TargetMode="External"/><Relationship Id="rId49" Type="http://schemas.openxmlformats.org/officeDocument/2006/relationships/hyperlink" Target="https://yageogroup.com/content/datasheet/asset/file/PYU-AC_51_ROHS_L" TargetMode="External"/><Relationship Id="rId57" Type="http://schemas.openxmlformats.org/officeDocument/2006/relationships/hyperlink" Target="https://www.digikey.com/en/models/639681" TargetMode="External"/><Relationship Id="rId10" Type="http://schemas.openxmlformats.org/officeDocument/2006/relationships/hyperlink" Target="https://www.digikey.com/en/products/detail/murata-electronics/GRM155R60J226ME11D/5253988" TargetMode="External"/><Relationship Id="rId31" Type="http://schemas.openxmlformats.org/officeDocument/2006/relationships/hyperlink" Target="https://www.digikey.com/en/products/detail/infineon-technologies/IFX9201SGAUMA1/5415542" TargetMode="External"/><Relationship Id="rId44" Type="http://schemas.openxmlformats.org/officeDocument/2006/relationships/hyperlink" Target="https://mm.digikey.com/Volume0/opasdata/d220001/medias/docus/8412/587_mlcc01hqAUTOe.pdf" TargetMode="External"/><Relationship Id="rId52" Type="http://schemas.openxmlformats.org/officeDocument/2006/relationships/hyperlink" Target="https://www.bourns.com/docs/product-datasheets/crm.pdf" TargetMode="External"/><Relationship Id="rId60" Type="http://schemas.openxmlformats.org/officeDocument/2006/relationships/hyperlink" Target="https://search.murata.co.jp/Ceramy/image/img/P02/J(E)TE243B-0058_DEM10050C_reference.pdf" TargetMode="External"/><Relationship Id="rId65" Type="http://schemas.openxmlformats.org/officeDocument/2006/relationships/hyperlink" Target="https://www.infineon.com/dgdl/Infineon-IFX9201SG-DS-v01_01-EN.pdf?fileId=5546d4624cb7f111014d2e8916795dea&amp;ack=t" TargetMode="External"/><Relationship Id="rId73" Type="http://schemas.openxmlformats.org/officeDocument/2006/relationships/hyperlink" Target="https://www.digikey.com/en/products/detail/amphenol-cs-fci/10124667-Z0025YYLF/7590774" TargetMode="External"/><Relationship Id="rId4" Type="http://schemas.openxmlformats.org/officeDocument/2006/relationships/hyperlink" Target="https://www.digikey.com/en/products/detail/murata-electronics/GRM033R60J223KE01D/702435" TargetMode="External"/><Relationship Id="rId9" Type="http://schemas.openxmlformats.org/officeDocument/2006/relationships/hyperlink" Target="https://www.digikey.com/en/products/detail/taiyo-yuden/EMK212BJ106KG-T/930647" TargetMode="External"/><Relationship Id="rId13" Type="http://schemas.openxmlformats.org/officeDocument/2006/relationships/hyperlink" Target="https://www.digikey.com/en/products/detail/samsung-electro-mechanics/CL32A157MQVNNNE/3889025" TargetMode="External"/><Relationship Id="rId18" Type="http://schemas.openxmlformats.org/officeDocument/2006/relationships/hyperlink" Target="https://www.digikey.com/en/products/detail/te-connectivity-passive-product/CRGP2512F10K/8577335" TargetMode="External"/><Relationship Id="rId39" Type="http://schemas.openxmlformats.org/officeDocument/2006/relationships/hyperlink" Target="https://search.murata.co.jp/Ceramy/image/img/A01X/G101/ENG/GRM033R60J223KE01-01.pdf" TargetMode="External"/><Relationship Id="rId34" Type="http://schemas.openxmlformats.org/officeDocument/2006/relationships/hyperlink" Target="https://www.digikey.com/en/products/detail/adam-tech/EBWA-03-A/9830974" TargetMode="External"/><Relationship Id="rId50" Type="http://schemas.openxmlformats.org/officeDocument/2006/relationships/hyperlink" Target="https://www.te.com/commerce/DocumentDelivery/DDEController?Action=srchrtrv&amp;DocNm=1309350_PASSIVE_COMPONENT&amp;DocType=CS&amp;DocLang=English" TargetMode="External"/><Relationship Id="rId55" Type="http://schemas.openxmlformats.org/officeDocument/2006/relationships/hyperlink" Target="https://www.vishay.com/docs/93299/vs-30wq10fn.pdf" TargetMode="External"/><Relationship Id="rId76" Type="http://schemas.openxmlformats.org/officeDocument/2006/relationships/hyperlink" Target="https://www.sameskydevices.com/product/resource/ts02.pdf" TargetMode="External"/><Relationship Id="rId7" Type="http://schemas.openxmlformats.org/officeDocument/2006/relationships/hyperlink" Target="https://www.digikey.com/en/products/detail/murata-electronics/GRM033R60J474KE90D/5027494" TargetMode="External"/><Relationship Id="rId71" Type="http://schemas.openxmlformats.org/officeDocument/2006/relationships/hyperlink" Target="https://www.cuidevices.com/product/resource/pj-102a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1"/>
  <sheetViews>
    <sheetView tabSelected="1" workbookViewId="0">
      <selection activeCell="E40" sqref="E40"/>
    </sheetView>
  </sheetViews>
  <sheetFormatPr defaultColWidth="12.5703125" defaultRowHeight="15.75" customHeight="1" x14ac:dyDescent="0.2"/>
  <cols>
    <col min="1" max="1" width="21.7109375" bestFit="1" customWidth="1"/>
    <col min="2" max="2" width="12.7109375" bestFit="1" customWidth="1"/>
    <col min="3" max="3" width="18.5703125" bestFit="1" customWidth="1"/>
    <col min="4" max="4" width="19.5703125" bestFit="1" customWidth="1"/>
    <col min="5" max="5" width="19.7109375" bestFit="1" customWidth="1"/>
    <col min="6" max="6" width="20.7109375" bestFit="1" customWidth="1"/>
    <col min="7" max="7" width="13.140625" bestFit="1" customWidth="1"/>
    <col min="8" max="8" width="19.140625" bestFit="1" customWidth="1"/>
    <col min="9" max="10" width="16.140625" customWidth="1"/>
    <col min="11" max="11" width="9.28515625" customWidth="1"/>
    <col min="12" max="12" width="12.42578125" customWidth="1"/>
    <col min="13" max="13" width="8.42578125" customWidth="1"/>
    <col min="14" max="14" width="11.140625" customWidth="1"/>
    <col min="15" max="15" width="9.42578125" customWidth="1"/>
    <col min="16" max="16" width="6.85546875" customWidth="1"/>
    <col min="17" max="17" width="33.42578125" customWidth="1"/>
  </cols>
  <sheetData>
    <row r="1" spans="1:17" ht="15.75" customHeight="1" x14ac:dyDescent="0.4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2.7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ht="15.75" customHeight="1" x14ac:dyDescent="0.2">
      <c r="A3" s="4" t="s">
        <v>18</v>
      </c>
      <c r="B3" s="5">
        <v>1</v>
      </c>
      <c r="C3" s="6">
        <v>5.49</v>
      </c>
      <c r="D3" s="6">
        <f t="shared" ref="D3:D38" si="0">B3*C3</f>
        <v>5.49</v>
      </c>
      <c r="E3" s="6">
        <f>C3</f>
        <v>5.49</v>
      </c>
      <c r="F3" s="6">
        <f t="shared" ref="F3:F38" si="1">B3*E3</f>
        <v>5.49</v>
      </c>
      <c r="G3" s="4" t="s">
        <v>58</v>
      </c>
      <c r="H3" s="4" t="s">
        <v>59</v>
      </c>
      <c r="I3" s="10" t="s">
        <v>182</v>
      </c>
      <c r="J3" s="10" t="s">
        <v>217</v>
      </c>
      <c r="K3" s="4" t="s">
        <v>60</v>
      </c>
      <c r="L3" s="4" t="s">
        <v>61</v>
      </c>
      <c r="M3" s="4"/>
      <c r="N3" s="7"/>
      <c r="O3" s="4"/>
      <c r="P3" s="5">
        <f t="shared" ref="P3:P40" si="2">O3-B3</f>
        <v>-1</v>
      </c>
      <c r="Q3" s="4" t="s">
        <v>53</v>
      </c>
    </row>
    <row r="4" spans="1:17" ht="12.75" x14ac:dyDescent="0.2">
      <c r="A4" s="4" t="s">
        <v>114</v>
      </c>
      <c r="B4" s="8">
        <v>2</v>
      </c>
      <c r="C4" s="6">
        <v>0.1</v>
      </c>
      <c r="D4" s="6">
        <f t="shared" si="0"/>
        <v>0.2</v>
      </c>
      <c r="E4" s="6">
        <f t="shared" ref="E4:E38" si="3">C4</f>
        <v>0.1</v>
      </c>
      <c r="F4" s="6">
        <f t="shared" si="1"/>
        <v>0.2</v>
      </c>
      <c r="G4" s="4" t="s">
        <v>101</v>
      </c>
      <c r="H4" s="4" t="s">
        <v>115</v>
      </c>
      <c r="I4" s="10" t="s">
        <v>183</v>
      </c>
      <c r="J4" s="10" t="s">
        <v>218</v>
      </c>
      <c r="K4" s="8" t="s">
        <v>60</v>
      </c>
      <c r="L4" s="4" t="s">
        <v>116</v>
      </c>
      <c r="M4" s="4"/>
      <c r="N4" s="7"/>
      <c r="O4" s="4"/>
      <c r="P4" s="5">
        <f>O4-B10</f>
        <v>-2</v>
      </c>
      <c r="Q4" s="8" t="s">
        <v>25</v>
      </c>
    </row>
    <row r="5" spans="1:17" ht="12.75" x14ac:dyDescent="0.2">
      <c r="A5" s="4" t="s">
        <v>123</v>
      </c>
      <c r="B5" s="5">
        <v>2</v>
      </c>
      <c r="C5" s="6">
        <v>0.08</v>
      </c>
      <c r="D5" s="6">
        <f t="shared" si="0"/>
        <v>0.16</v>
      </c>
      <c r="E5" s="6">
        <f t="shared" si="3"/>
        <v>0.08</v>
      </c>
      <c r="F5" s="6">
        <f t="shared" si="1"/>
        <v>0.16</v>
      </c>
      <c r="G5" s="4" t="s">
        <v>101</v>
      </c>
      <c r="H5" s="4" t="s">
        <v>124</v>
      </c>
      <c r="I5" s="10" t="s">
        <v>184</v>
      </c>
      <c r="J5" s="10" t="s">
        <v>219</v>
      </c>
      <c r="K5" s="8" t="s">
        <v>60</v>
      </c>
      <c r="L5" s="4" t="s">
        <v>125</v>
      </c>
      <c r="M5" s="4"/>
      <c r="N5" s="7"/>
      <c r="O5" s="4"/>
      <c r="P5" s="5">
        <f t="shared" si="2"/>
        <v>-2</v>
      </c>
      <c r="Q5" s="8" t="s">
        <v>22</v>
      </c>
    </row>
    <row r="6" spans="1:17" ht="12.75" x14ac:dyDescent="0.2">
      <c r="A6" s="4" t="s">
        <v>107</v>
      </c>
      <c r="B6" s="5">
        <v>1</v>
      </c>
      <c r="C6" s="6">
        <v>0.1</v>
      </c>
      <c r="D6" s="6">
        <f t="shared" si="0"/>
        <v>0.1</v>
      </c>
      <c r="E6" s="6">
        <f t="shared" si="3"/>
        <v>0.1</v>
      </c>
      <c r="F6" s="6">
        <f t="shared" si="1"/>
        <v>0.1</v>
      </c>
      <c r="G6" s="4" t="s">
        <v>101</v>
      </c>
      <c r="H6" s="4" t="s">
        <v>108</v>
      </c>
      <c r="I6" s="10" t="s">
        <v>185</v>
      </c>
      <c r="J6" s="10" t="s">
        <v>220</v>
      </c>
      <c r="K6" s="8" t="s">
        <v>60</v>
      </c>
      <c r="L6" s="4" t="s">
        <v>109</v>
      </c>
      <c r="M6" s="4"/>
      <c r="N6" s="7"/>
      <c r="O6" s="8"/>
      <c r="P6" s="5">
        <f t="shared" si="2"/>
        <v>-1</v>
      </c>
      <c r="Q6" s="4" t="s">
        <v>27</v>
      </c>
    </row>
    <row r="7" spans="1:17" ht="12.75" x14ac:dyDescent="0.2">
      <c r="A7" s="4" t="s">
        <v>93</v>
      </c>
      <c r="B7" s="5">
        <v>6</v>
      </c>
      <c r="C7" s="6">
        <v>0.18</v>
      </c>
      <c r="D7" s="6">
        <f t="shared" si="0"/>
        <v>1.08</v>
      </c>
      <c r="E7" s="6">
        <f t="shared" si="3"/>
        <v>0.18</v>
      </c>
      <c r="F7" s="6">
        <f t="shared" si="1"/>
        <v>1.08</v>
      </c>
      <c r="G7" s="4" t="s">
        <v>78</v>
      </c>
      <c r="H7" s="4" t="s">
        <v>94</v>
      </c>
      <c r="I7" s="10" t="s">
        <v>186</v>
      </c>
      <c r="J7" s="10" t="s">
        <v>221</v>
      </c>
      <c r="K7" s="8" t="s">
        <v>60</v>
      </c>
      <c r="L7" s="4" t="s">
        <v>95</v>
      </c>
      <c r="M7" s="4"/>
      <c r="N7" s="7"/>
      <c r="O7" s="8"/>
      <c r="P7" s="5">
        <f t="shared" si="2"/>
        <v>-6</v>
      </c>
      <c r="Q7" s="8" t="s">
        <v>28</v>
      </c>
    </row>
    <row r="8" spans="1:17" ht="12.75" x14ac:dyDescent="0.2">
      <c r="A8" s="4" t="s">
        <v>100</v>
      </c>
      <c r="B8" s="5">
        <v>7</v>
      </c>
      <c r="C8" s="6">
        <v>0.08</v>
      </c>
      <c r="D8" s="6">
        <f t="shared" si="0"/>
        <v>0.56000000000000005</v>
      </c>
      <c r="E8" s="6">
        <f t="shared" si="3"/>
        <v>0.08</v>
      </c>
      <c r="F8" s="6">
        <f t="shared" si="1"/>
        <v>0.56000000000000005</v>
      </c>
      <c r="G8" s="4" t="s">
        <v>101</v>
      </c>
      <c r="H8" s="4" t="s">
        <v>102</v>
      </c>
      <c r="I8" s="10" t="s">
        <v>187</v>
      </c>
      <c r="J8" s="10" t="s">
        <v>222</v>
      </c>
      <c r="K8" s="8" t="s">
        <v>60</v>
      </c>
      <c r="L8" s="4" t="s">
        <v>103</v>
      </c>
      <c r="M8" s="4"/>
      <c r="N8" s="7"/>
      <c r="O8" s="4"/>
      <c r="P8" s="5">
        <f t="shared" si="2"/>
        <v>-7</v>
      </c>
      <c r="Q8" s="8" t="s">
        <v>31</v>
      </c>
    </row>
    <row r="9" spans="1:17" ht="12.75" x14ac:dyDescent="0.2">
      <c r="A9" s="4" t="s">
        <v>117</v>
      </c>
      <c r="B9" s="5">
        <v>1</v>
      </c>
      <c r="C9" s="6">
        <v>0.08</v>
      </c>
      <c r="D9" s="6">
        <f t="shared" si="0"/>
        <v>0.08</v>
      </c>
      <c r="E9" s="6">
        <f t="shared" si="3"/>
        <v>0.08</v>
      </c>
      <c r="F9" s="6">
        <f t="shared" si="1"/>
        <v>0.08</v>
      </c>
      <c r="G9" s="4" t="s">
        <v>101</v>
      </c>
      <c r="H9" s="4" t="s">
        <v>118</v>
      </c>
      <c r="I9" s="10" t="s">
        <v>188</v>
      </c>
      <c r="J9" s="10" t="s">
        <v>223</v>
      </c>
      <c r="K9" s="8" t="s">
        <v>60</v>
      </c>
      <c r="L9" s="4" t="s">
        <v>119</v>
      </c>
      <c r="M9" s="4"/>
      <c r="N9" s="7"/>
      <c r="O9" s="4"/>
      <c r="P9" s="5">
        <f t="shared" si="2"/>
        <v>-1</v>
      </c>
      <c r="Q9" s="8" t="s">
        <v>24</v>
      </c>
    </row>
    <row r="10" spans="1:17" ht="12.75" x14ac:dyDescent="0.2">
      <c r="A10" s="4" t="s">
        <v>120</v>
      </c>
      <c r="B10" s="5">
        <v>2</v>
      </c>
      <c r="C10" s="6">
        <v>0.1</v>
      </c>
      <c r="D10" s="6">
        <f t="shared" si="0"/>
        <v>0.2</v>
      </c>
      <c r="E10" s="6">
        <f t="shared" si="3"/>
        <v>0.1</v>
      </c>
      <c r="F10" s="6">
        <f t="shared" si="1"/>
        <v>0.2</v>
      </c>
      <c r="G10" s="4" t="s">
        <v>97</v>
      </c>
      <c r="H10" s="8" t="s">
        <v>121</v>
      </c>
      <c r="I10" s="10" t="s">
        <v>189</v>
      </c>
      <c r="J10" s="10" t="s">
        <v>224</v>
      </c>
      <c r="K10" s="8" t="s">
        <v>60</v>
      </c>
      <c r="L10" s="8" t="s">
        <v>122</v>
      </c>
      <c r="M10" s="8"/>
      <c r="N10" s="7"/>
      <c r="O10" s="8"/>
      <c r="P10" s="5">
        <f t="shared" si="2"/>
        <v>-2</v>
      </c>
      <c r="Q10" s="8" t="s">
        <v>23</v>
      </c>
    </row>
    <row r="11" spans="1:17" ht="12.75" x14ac:dyDescent="0.2">
      <c r="A11" s="4" t="s">
        <v>110</v>
      </c>
      <c r="B11" s="5">
        <v>1</v>
      </c>
      <c r="C11" s="6">
        <v>0.08</v>
      </c>
      <c r="D11" s="6">
        <f t="shared" si="0"/>
        <v>0.08</v>
      </c>
      <c r="E11" s="6">
        <f t="shared" si="3"/>
        <v>0.08</v>
      </c>
      <c r="F11" s="6">
        <f t="shared" si="1"/>
        <v>0.08</v>
      </c>
      <c r="G11" s="4" t="s">
        <v>111</v>
      </c>
      <c r="H11" s="8" t="s">
        <v>112</v>
      </c>
      <c r="I11" s="11" t="s">
        <v>190</v>
      </c>
      <c r="J11" s="10" t="s">
        <v>225</v>
      </c>
      <c r="K11" s="8" t="s">
        <v>60</v>
      </c>
      <c r="L11" s="8" t="s">
        <v>113</v>
      </c>
      <c r="M11" s="8"/>
      <c r="N11" s="7"/>
      <c r="O11" s="8"/>
      <c r="P11" s="5">
        <f t="shared" si="2"/>
        <v>-1</v>
      </c>
      <c r="Q11" s="8" t="s">
        <v>26</v>
      </c>
    </row>
    <row r="12" spans="1:17" ht="12.75" x14ac:dyDescent="0.2">
      <c r="A12" s="4" t="s">
        <v>104</v>
      </c>
      <c r="B12" s="5">
        <v>4</v>
      </c>
      <c r="C12" s="6">
        <v>0.28000000000000003</v>
      </c>
      <c r="D12" s="6">
        <f t="shared" si="0"/>
        <v>1.1200000000000001</v>
      </c>
      <c r="E12" s="6">
        <f t="shared" si="3"/>
        <v>0.28000000000000003</v>
      </c>
      <c r="F12" s="6">
        <f t="shared" si="1"/>
        <v>1.1200000000000001</v>
      </c>
      <c r="G12" s="8" t="s">
        <v>101</v>
      </c>
      <c r="H12" s="8" t="s">
        <v>105</v>
      </c>
      <c r="I12" s="10" t="s">
        <v>191</v>
      </c>
      <c r="J12" s="10" t="s">
        <v>226</v>
      </c>
      <c r="K12" s="8" t="s">
        <v>60</v>
      </c>
      <c r="L12" s="8" t="s">
        <v>106</v>
      </c>
      <c r="M12" s="8"/>
      <c r="N12" s="7"/>
      <c r="O12" s="8"/>
      <c r="P12" s="5">
        <f t="shared" si="2"/>
        <v>-4</v>
      </c>
      <c r="Q12" s="8" t="s">
        <v>29</v>
      </c>
    </row>
    <row r="13" spans="1:17" ht="12.75" x14ac:dyDescent="0.2">
      <c r="A13" s="4" t="s">
        <v>137</v>
      </c>
      <c r="B13" s="5">
        <v>5</v>
      </c>
      <c r="C13" s="6">
        <v>1.74</v>
      </c>
      <c r="D13" s="6">
        <f t="shared" si="0"/>
        <v>8.6999999999999993</v>
      </c>
      <c r="E13" s="6">
        <f t="shared" si="3"/>
        <v>1.74</v>
      </c>
      <c r="F13" s="6">
        <f t="shared" si="1"/>
        <v>8.6999999999999993</v>
      </c>
      <c r="G13" s="4" t="s">
        <v>111</v>
      </c>
      <c r="H13" s="8" t="s">
        <v>138</v>
      </c>
      <c r="I13" s="10" t="s">
        <v>192</v>
      </c>
      <c r="J13" s="10" t="s">
        <v>225</v>
      </c>
      <c r="K13" s="8" t="s">
        <v>60</v>
      </c>
      <c r="L13" s="8" t="s">
        <v>139</v>
      </c>
      <c r="M13" s="8"/>
      <c r="N13" s="7"/>
      <c r="O13" s="8"/>
      <c r="P13" s="5">
        <f t="shared" si="2"/>
        <v>-5</v>
      </c>
      <c r="Q13" s="8" t="s">
        <v>32</v>
      </c>
    </row>
    <row r="14" spans="1:17" ht="12.75" x14ac:dyDescent="0.2">
      <c r="A14" s="4" t="s">
        <v>96</v>
      </c>
      <c r="B14" s="5">
        <v>1</v>
      </c>
      <c r="C14" s="6">
        <v>1.31</v>
      </c>
      <c r="D14" s="6">
        <f t="shared" si="0"/>
        <v>1.31</v>
      </c>
      <c r="E14" s="6">
        <f t="shared" si="3"/>
        <v>1.31</v>
      </c>
      <c r="F14" s="6">
        <f t="shared" si="1"/>
        <v>1.31</v>
      </c>
      <c r="G14" s="8" t="s">
        <v>97</v>
      </c>
      <c r="H14" s="8" t="s">
        <v>98</v>
      </c>
      <c r="I14" s="10" t="s">
        <v>194</v>
      </c>
      <c r="J14" s="10" t="s">
        <v>227</v>
      </c>
      <c r="K14" s="8" t="s">
        <v>60</v>
      </c>
      <c r="L14" s="8" t="s">
        <v>99</v>
      </c>
      <c r="M14" s="8"/>
      <c r="N14" s="7"/>
      <c r="O14" s="8"/>
      <c r="P14" s="5">
        <f t="shared" si="2"/>
        <v>-1</v>
      </c>
      <c r="Q14" s="8" t="s">
        <v>30</v>
      </c>
    </row>
    <row r="15" spans="1:17" ht="12.75" x14ac:dyDescent="0.2">
      <c r="A15" s="4" t="s">
        <v>82</v>
      </c>
      <c r="B15" s="5">
        <v>1</v>
      </c>
      <c r="C15" s="6">
        <v>0.44</v>
      </c>
      <c r="D15" s="6">
        <f t="shared" si="0"/>
        <v>0.44</v>
      </c>
      <c r="E15" s="6">
        <f t="shared" si="3"/>
        <v>0.44</v>
      </c>
      <c r="F15" s="6">
        <f t="shared" si="1"/>
        <v>0.44</v>
      </c>
      <c r="G15" s="8" t="s">
        <v>83</v>
      </c>
      <c r="H15" s="8" t="s">
        <v>84</v>
      </c>
      <c r="I15" s="10" t="s">
        <v>193</v>
      </c>
      <c r="J15" s="10" t="s">
        <v>85</v>
      </c>
      <c r="K15" s="8" t="s">
        <v>60</v>
      </c>
      <c r="L15" s="8" t="s">
        <v>86</v>
      </c>
      <c r="M15" s="8"/>
      <c r="N15" s="7"/>
      <c r="O15" s="8"/>
      <c r="P15" s="5">
        <f t="shared" si="2"/>
        <v>-1</v>
      </c>
      <c r="Q15" s="8" t="s">
        <v>48</v>
      </c>
    </row>
    <row r="16" spans="1:17" ht="12.75" x14ac:dyDescent="0.2">
      <c r="A16" s="4" t="s">
        <v>77</v>
      </c>
      <c r="B16" s="5">
        <v>1</v>
      </c>
      <c r="C16" s="6">
        <v>0.24</v>
      </c>
      <c r="D16" s="6">
        <f t="shared" si="0"/>
        <v>0.24</v>
      </c>
      <c r="E16" s="6">
        <f t="shared" si="3"/>
        <v>0.24</v>
      </c>
      <c r="F16" s="6">
        <f t="shared" si="1"/>
        <v>0.24</v>
      </c>
      <c r="G16" s="8" t="s">
        <v>78</v>
      </c>
      <c r="H16" s="8" t="s">
        <v>79</v>
      </c>
      <c r="I16" s="10" t="s">
        <v>195</v>
      </c>
      <c r="J16" s="10" t="s">
        <v>80</v>
      </c>
      <c r="K16" s="8" t="s">
        <v>60</v>
      </c>
      <c r="L16" s="8" t="s">
        <v>81</v>
      </c>
      <c r="M16" s="8"/>
      <c r="N16" s="7"/>
      <c r="O16" s="8"/>
      <c r="P16" s="5">
        <f t="shared" si="2"/>
        <v>-1</v>
      </c>
      <c r="Q16" s="8" t="s">
        <v>45</v>
      </c>
    </row>
    <row r="17" spans="1:17" ht="12.75" x14ac:dyDescent="0.2">
      <c r="A17" s="4" t="s">
        <v>172</v>
      </c>
      <c r="B17" s="5">
        <v>1</v>
      </c>
      <c r="C17" s="6">
        <v>0.53</v>
      </c>
      <c r="D17" s="6">
        <f t="shared" si="0"/>
        <v>0.53</v>
      </c>
      <c r="E17" s="6">
        <f t="shared" si="3"/>
        <v>0.53</v>
      </c>
      <c r="F17" s="6">
        <f t="shared" si="1"/>
        <v>0.53</v>
      </c>
      <c r="G17" s="8" t="s">
        <v>173</v>
      </c>
      <c r="H17" s="8" t="s">
        <v>174</v>
      </c>
      <c r="I17" s="10" t="s">
        <v>196</v>
      </c>
      <c r="J17" s="10" t="s">
        <v>228</v>
      </c>
      <c r="K17" s="8" t="s">
        <v>60</v>
      </c>
      <c r="L17" s="8" t="s">
        <v>175</v>
      </c>
      <c r="M17" s="8"/>
      <c r="N17" s="7"/>
      <c r="O17" s="8"/>
      <c r="P17" s="5">
        <f t="shared" si="2"/>
        <v>-1</v>
      </c>
      <c r="Q17" s="8" t="s">
        <v>50</v>
      </c>
    </row>
    <row r="18" spans="1:17" ht="12.75" x14ac:dyDescent="0.2">
      <c r="A18" s="4" t="s">
        <v>176</v>
      </c>
      <c r="B18" s="5">
        <v>1</v>
      </c>
      <c r="C18" s="6">
        <v>1.39</v>
      </c>
      <c r="D18" s="6">
        <f t="shared" si="0"/>
        <v>1.39</v>
      </c>
      <c r="E18" s="6">
        <f t="shared" si="3"/>
        <v>1.39</v>
      </c>
      <c r="F18" s="6">
        <f t="shared" si="1"/>
        <v>1.39</v>
      </c>
      <c r="G18" s="8" t="s">
        <v>173</v>
      </c>
      <c r="H18" s="8" t="s">
        <v>177</v>
      </c>
      <c r="I18" s="10" t="s">
        <v>197</v>
      </c>
      <c r="J18" s="10" t="s">
        <v>229</v>
      </c>
      <c r="K18" s="8" t="s">
        <v>60</v>
      </c>
      <c r="L18" s="8" t="s">
        <v>178</v>
      </c>
      <c r="M18" s="8"/>
      <c r="N18" s="7"/>
      <c r="O18" s="8"/>
      <c r="P18" s="5">
        <f t="shared" si="2"/>
        <v>-1</v>
      </c>
      <c r="Q18" s="8" t="s">
        <v>46</v>
      </c>
    </row>
    <row r="19" spans="1:17" ht="12.75" x14ac:dyDescent="0.2">
      <c r="A19" s="4" t="s">
        <v>87</v>
      </c>
      <c r="B19" s="5">
        <v>1</v>
      </c>
      <c r="C19" s="6">
        <v>0.52</v>
      </c>
      <c r="D19" s="6">
        <f t="shared" si="0"/>
        <v>0.52</v>
      </c>
      <c r="E19" s="6">
        <f t="shared" si="3"/>
        <v>0.52</v>
      </c>
      <c r="F19" s="6">
        <f t="shared" si="1"/>
        <v>0.52</v>
      </c>
      <c r="G19" s="8" t="s">
        <v>83</v>
      </c>
      <c r="H19" s="8" t="s">
        <v>88</v>
      </c>
      <c r="I19" s="11" t="s">
        <v>198</v>
      </c>
      <c r="J19" s="10" t="s">
        <v>230</v>
      </c>
      <c r="K19" s="8" t="s">
        <v>60</v>
      </c>
      <c r="L19" s="8" t="s">
        <v>89</v>
      </c>
      <c r="M19" s="8"/>
      <c r="N19" s="7"/>
      <c r="O19" s="8"/>
      <c r="P19" s="5">
        <f t="shared" si="2"/>
        <v>-1</v>
      </c>
      <c r="Q19" s="8" t="s">
        <v>47</v>
      </c>
    </row>
    <row r="20" spans="1:17" ht="12.75" x14ac:dyDescent="0.2">
      <c r="A20" s="4" t="s">
        <v>179</v>
      </c>
      <c r="B20" s="5">
        <v>1</v>
      </c>
      <c r="C20" s="6">
        <v>0.51</v>
      </c>
      <c r="D20" s="6">
        <f t="shared" ref="D20" si="4">B20*C20</f>
        <v>0.51</v>
      </c>
      <c r="E20" s="6">
        <f t="shared" ref="E20" si="5">C20</f>
        <v>0.51</v>
      </c>
      <c r="F20" s="6">
        <f t="shared" ref="F20" si="6">B20*E20</f>
        <v>0.51</v>
      </c>
      <c r="G20" s="8" t="s">
        <v>173</v>
      </c>
      <c r="H20" s="8" t="s">
        <v>180</v>
      </c>
      <c r="I20" s="10" t="s">
        <v>199</v>
      </c>
      <c r="J20" s="10" t="s">
        <v>231</v>
      </c>
      <c r="K20" s="8" t="s">
        <v>60</v>
      </c>
      <c r="L20" s="8" t="s">
        <v>181</v>
      </c>
      <c r="M20" s="8"/>
      <c r="N20" s="7"/>
      <c r="O20" s="8"/>
      <c r="P20" s="5">
        <f t="shared" si="2"/>
        <v>-1</v>
      </c>
      <c r="Q20" s="8" t="s">
        <v>49</v>
      </c>
    </row>
    <row r="21" spans="1:17" ht="12.75" x14ac:dyDescent="0.2">
      <c r="A21" s="4" t="s">
        <v>90</v>
      </c>
      <c r="B21" s="5">
        <v>1</v>
      </c>
      <c r="C21" s="6">
        <v>0.52</v>
      </c>
      <c r="D21" s="6">
        <f t="shared" si="0"/>
        <v>0.52</v>
      </c>
      <c r="E21" s="6">
        <f t="shared" si="3"/>
        <v>0.52</v>
      </c>
      <c r="F21" s="6">
        <f t="shared" si="1"/>
        <v>0.52</v>
      </c>
      <c r="G21" s="8" t="s">
        <v>83</v>
      </c>
      <c r="H21" s="8" t="s">
        <v>91</v>
      </c>
      <c r="I21" s="10" t="s">
        <v>200</v>
      </c>
      <c r="J21" s="10" t="s">
        <v>230</v>
      </c>
      <c r="K21" s="8" t="s">
        <v>60</v>
      </c>
      <c r="L21" s="8" t="s">
        <v>92</v>
      </c>
      <c r="M21" s="8"/>
      <c r="N21" s="7"/>
      <c r="O21" s="8"/>
      <c r="P21" s="5">
        <f t="shared" si="2"/>
        <v>-1</v>
      </c>
      <c r="Q21" s="8" t="s">
        <v>44</v>
      </c>
    </row>
    <row r="22" spans="1:17" ht="12.75" x14ac:dyDescent="0.2">
      <c r="A22" s="4" t="s">
        <v>152</v>
      </c>
      <c r="B22" s="5">
        <v>5</v>
      </c>
      <c r="C22" s="6">
        <v>0.4</v>
      </c>
      <c r="D22" s="6">
        <f t="shared" si="0"/>
        <v>2</v>
      </c>
      <c r="E22" s="6">
        <f t="shared" si="3"/>
        <v>0.4</v>
      </c>
      <c r="F22" s="6">
        <f t="shared" si="1"/>
        <v>2</v>
      </c>
      <c r="G22" s="8" t="s">
        <v>153</v>
      </c>
      <c r="H22" s="8" t="s">
        <v>154</v>
      </c>
      <c r="I22" s="10" t="s">
        <v>201</v>
      </c>
      <c r="J22" s="10" t="s">
        <v>232</v>
      </c>
      <c r="K22" s="8" t="s">
        <v>60</v>
      </c>
      <c r="L22" s="8" t="s">
        <v>155</v>
      </c>
      <c r="M22" s="8"/>
      <c r="N22" s="7"/>
      <c r="O22" s="8"/>
      <c r="P22" s="5">
        <f t="shared" si="2"/>
        <v>-5</v>
      </c>
      <c r="Q22" s="8" t="s">
        <v>34</v>
      </c>
    </row>
    <row r="23" spans="1:17" ht="12.75" x14ac:dyDescent="0.2">
      <c r="A23" s="4" t="s">
        <v>156</v>
      </c>
      <c r="B23" s="5">
        <v>1</v>
      </c>
      <c r="C23" s="6">
        <v>0.1</v>
      </c>
      <c r="D23" s="6">
        <f t="shared" si="0"/>
        <v>0.1</v>
      </c>
      <c r="E23" s="6">
        <f t="shared" si="3"/>
        <v>0.1</v>
      </c>
      <c r="F23" s="6">
        <f t="shared" si="1"/>
        <v>0.1</v>
      </c>
      <c r="G23" s="8" t="s">
        <v>157</v>
      </c>
      <c r="H23" s="8" t="s">
        <v>158</v>
      </c>
      <c r="I23" s="10" t="s">
        <v>202</v>
      </c>
      <c r="J23" s="10" t="s">
        <v>233</v>
      </c>
      <c r="K23" s="8" t="s">
        <v>60</v>
      </c>
      <c r="L23" s="8" t="s">
        <v>159</v>
      </c>
      <c r="M23" s="8"/>
      <c r="N23" s="7"/>
      <c r="O23" s="8"/>
      <c r="P23" s="5">
        <f t="shared" si="2"/>
        <v>-1</v>
      </c>
      <c r="Q23" s="8" t="s">
        <v>33</v>
      </c>
    </row>
    <row r="24" spans="1:17" ht="12.75" x14ac:dyDescent="0.2">
      <c r="A24" s="4" t="s">
        <v>150</v>
      </c>
      <c r="B24" s="5">
        <v>1</v>
      </c>
      <c r="C24" s="6">
        <v>0.63</v>
      </c>
      <c r="D24" s="6">
        <f t="shared" si="0"/>
        <v>0.63</v>
      </c>
      <c r="E24" s="6">
        <f t="shared" si="3"/>
        <v>0.63</v>
      </c>
      <c r="F24" s="6">
        <f t="shared" si="1"/>
        <v>0.63</v>
      </c>
      <c r="G24" s="8" t="s">
        <v>148</v>
      </c>
      <c r="H24" s="8">
        <v>34.312399999999997</v>
      </c>
      <c r="I24" s="10" t="s">
        <v>203</v>
      </c>
      <c r="J24" s="10" t="s">
        <v>234</v>
      </c>
      <c r="K24" s="8" t="s">
        <v>60</v>
      </c>
      <c r="L24" s="8" t="s">
        <v>151</v>
      </c>
      <c r="M24" s="8"/>
      <c r="N24" s="7"/>
      <c r="O24" s="8"/>
      <c r="P24" s="5">
        <f t="shared" si="2"/>
        <v>-1</v>
      </c>
      <c r="Q24" s="8" t="s">
        <v>35</v>
      </c>
    </row>
    <row r="25" spans="1:17" ht="12.75" x14ac:dyDescent="0.2">
      <c r="A25" s="4" t="s">
        <v>147</v>
      </c>
      <c r="B25" s="5">
        <v>1</v>
      </c>
      <c r="C25" s="6">
        <v>0.63</v>
      </c>
      <c r="D25" s="6">
        <f t="shared" si="0"/>
        <v>0.63</v>
      </c>
      <c r="E25" s="6">
        <f t="shared" si="3"/>
        <v>0.63</v>
      </c>
      <c r="F25" s="6">
        <f t="shared" si="1"/>
        <v>0.63</v>
      </c>
      <c r="G25" s="8" t="s">
        <v>148</v>
      </c>
      <c r="H25" s="8">
        <v>34.3123</v>
      </c>
      <c r="I25" s="10" t="s">
        <v>204</v>
      </c>
      <c r="J25" s="10" t="s">
        <v>235</v>
      </c>
      <c r="K25" s="8" t="s">
        <v>60</v>
      </c>
      <c r="L25" s="8" t="s">
        <v>149</v>
      </c>
      <c r="M25" s="8"/>
      <c r="N25" s="7"/>
      <c r="O25" s="8"/>
      <c r="P25" s="5">
        <f t="shared" si="2"/>
        <v>-1</v>
      </c>
      <c r="Q25" s="8" t="s">
        <v>36</v>
      </c>
    </row>
    <row r="26" spans="1:17" ht="12.75" x14ac:dyDescent="0.2">
      <c r="A26" s="4" t="s">
        <v>140</v>
      </c>
      <c r="B26" s="5">
        <v>1</v>
      </c>
      <c r="C26" s="6">
        <v>1.03</v>
      </c>
      <c r="D26" s="6">
        <f t="shared" si="0"/>
        <v>1.03</v>
      </c>
      <c r="E26" s="6">
        <f t="shared" si="3"/>
        <v>1.03</v>
      </c>
      <c r="F26" s="6">
        <f t="shared" si="1"/>
        <v>1.03</v>
      </c>
      <c r="G26" s="8" t="s">
        <v>141</v>
      </c>
      <c r="H26" s="8" t="s">
        <v>142</v>
      </c>
      <c r="I26" s="10" t="s">
        <v>205</v>
      </c>
      <c r="J26" s="10" t="s">
        <v>236</v>
      </c>
      <c r="K26" s="8" t="s">
        <v>60</v>
      </c>
      <c r="L26" s="8" t="s">
        <v>143</v>
      </c>
      <c r="M26" s="8"/>
      <c r="N26" s="7"/>
      <c r="O26" s="8"/>
      <c r="P26" s="5">
        <f t="shared" si="2"/>
        <v>-1</v>
      </c>
      <c r="Q26" s="8" t="s">
        <v>40</v>
      </c>
    </row>
    <row r="27" spans="1:17" ht="12.75" x14ac:dyDescent="0.2">
      <c r="A27" s="4" t="s">
        <v>144</v>
      </c>
      <c r="B27" s="5">
        <v>1</v>
      </c>
      <c r="C27" s="6">
        <v>1.06</v>
      </c>
      <c r="D27" s="6">
        <f t="shared" si="0"/>
        <v>1.06</v>
      </c>
      <c r="E27" s="6">
        <f t="shared" si="3"/>
        <v>1.06</v>
      </c>
      <c r="F27" s="6">
        <f t="shared" si="1"/>
        <v>1.06</v>
      </c>
      <c r="G27" s="8" t="s">
        <v>101</v>
      </c>
      <c r="H27" s="8" t="s">
        <v>145</v>
      </c>
      <c r="I27" s="10" t="s">
        <v>206</v>
      </c>
      <c r="J27" s="10" t="s">
        <v>237</v>
      </c>
      <c r="K27" s="8" t="s">
        <v>60</v>
      </c>
      <c r="L27" s="8" t="s">
        <v>146</v>
      </c>
      <c r="M27" s="8"/>
      <c r="N27" s="7"/>
      <c r="O27" s="8"/>
      <c r="P27" s="5">
        <f t="shared" si="2"/>
        <v>-1</v>
      </c>
      <c r="Q27" s="8" t="s">
        <v>41</v>
      </c>
    </row>
    <row r="28" spans="1:17" ht="12.75" x14ac:dyDescent="0.2">
      <c r="A28" s="4" t="s">
        <v>70</v>
      </c>
      <c r="B28" s="5">
        <v>2</v>
      </c>
      <c r="C28" s="6">
        <v>5.95</v>
      </c>
      <c r="D28" s="6">
        <f t="shared" si="0"/>
        <v>11.9</v>
      </c>
      <c r="E28" s="6">
        <f t="shared" si="3"/>
        <v>5.95</v>
      </c>
      <c r="F28" s="6">
        <f t="shared" si="1"/>
        <v>11.9</v>
      </c>
      <c r="G28" s="8" t="s">
        <v>71</v>
      </c>
      <c r="H28" s="8">
        <v>4326</v>
      </c>
      <c r="I28" s="10" t="s">
        <v>207</v>
      </c>
      <c r="J28" s="10" t="s">
        <v>238</v>
      </c>
      <c r="K28" s="8" t="s">
        <v>60</v>
      </c>
      <c r="L28" s="8" t="s">
        <v>72</v>
      </c>
      <c r="M28" s="8"/>
      <c r="N28" s="7"/>
      <c r="O28" s="8"/>
      <c r="P28" s="5">
        <f t="shared" si="2"/>
        <v>-2</v>
      </c>
      <c r="Q28" s="8" t="s">
        <v>42</v>
      </c>
    </row>
    <row r="29" spans="1:17" ht="12.75" x14ac:dyDescent="0.2">
      <c r="A29" s="4" t="s">
        <v>164</v>
      </c>
      <c r="B29" s="5">
        <v>3</v>
      </c>
      <c r="C29" s="6">
        <v>3.71</v>
      </c>
      <c r="D29" s="6">
        <f t="shared" si="0"/>
        <v>11.129999999999999</v>
      </c>
      <c r="E29" s="6">
        <f t="shared" si="3"/>
        <v>3.71</v>
      </c>
      <c r="F29" s="6">
        <f t="shared" si="1"/>
        <v>11.129999999999999</v>
      </c>
      <c r="G29" s="8" t="s">
        <v>165</v>
      </c>
      <c r="H29" s="8" t="s">
        <v>166</v>
      </c>
      <c r="I29" s="10" t="s">
        <v>208</v>
      </c>
      <c r="J29" s="10" t="s">
        <v>239</v>
      </c>
      <c r="K29" s="8" t="s">
        <v>60</v>
      </c>
      <c r="L29" s="8" t="s">
        <v>167</v>
      </c>
      <c r="M29" s="8"/>
      <c r="N29" s="7"/>
      <c r="O29" s="8"/>
      <c r="P29" s="5">
        <f t="shared" si="2"/>
        <v>-3</v>
      </c>
      <c r="Q29" s="8" t="s">
        <v>43</v>
      </c>
    </row>
    <row r="30" spans="1:17" ht="12.75" x14ac:dyDescent="0.2">
      <c r="A30" s="4" t="s">
        <v>20</v>
      </c>
      <c r="B30" s="5">
        <v>2</v>
      </c>
      <c r="C30" s="6">
        <v>1.48</v>
      </c>
      <c r="D30" s="6">
        <f t="shared" si="0"/>
        <v>2.96</v>
      </c>
      <c r="E30" s="6">
        <f t="shared" si="3"/>
        <v>1.48</v>
      </c>
      <c r="F30" s="6">
        <f t="shared" si="1"/>
        <v>2.96</v>
      </c>
      <c r="G30" s="8" t="s">
        <v>249</v>
      </c>
      <c r="H30" s="8">
        <v>702460801</v>
      </c>
      <c r="I30" s="10" t="s">
        <v>250</v>
      </c>
      <c r="J30" s="10" t="s">
        <v>256</v>
      </c>
      <c r="K30" s="8" t="s">
        <v>60</v>
      </c>
      <c r="L30" s="8" t="s">
        <v>251</v>
      </c>
      <c r="M30" s="8"/>
      <c r="N30" s="7"/>
      <c r="O30" s="8"/>
      <c r="P30" s="5">
        <f t="shared" si="2"/>
        <v>-2</v>
      </c>
      <c r="Q30" s="8" t="s">
        <v>39</v>
      </c>
    </row>
    <row r="31" spans="1:17" ht="12.75" x14ac:dyDescent="0.2">
      <c r="A31" s="4" t="s">
        <v>19</v>
      </c>
      <c r="B31" s="5">
        <v>2</v>
      </c>
      <c r="C31" s="6">
        <v>5</v>
      </c>
      <c r="D31" s="6">
        <f t="shared" si="0"/>
        <v>10</v>
      </c>
      <c r="E31" s="6">
        <f t="shared" si="3"/>
        <v>5</v>
      </c>
      <c r="F31" s="6">
        <f t="shared" si="1"/>
        <v>10</v>
      </c>
      <c r="G31" s="8" t="s">
        <v>252</v>
      </c>
      <c r="H31" s="8" t="s">
        <v>253</v>
      </c>
      <c r="I31" s="10" t="s">
        <v>255</v>
      </c>
      <c r="J31" s="10" t="s">
        <v>254</v>
      </c>
      <c r="K31" s="8" t="s">
        <v>60</v>
      </c>
      <c r="L31" s="8" t="s">
        <v>257</v>
      </c>
      <c r="M31" s="8"/>
      <c r="N31" s="8"/>
      <c r="O31" s="8"/>
      <c r="P31" s="8">
        <f t="shared" ref="H31:Q31" si="7">P30</f>
        <v>-2</v>
      </c>
      <c r="Q31" s="8" t="str">
        <f t="shared" si="7"/>
        <v>J3, J4</v>
      </c>
    </row>
    <row r="32" spans="1:17" ht="12.75" x14ac:dyDescent="0.2">
      <c r="A32" s="4" t="s">
        <v>73</v>
      </c>
      <c r="B32" s="5">
        <v>1</v>
      </c>
      <c r="C32" s="6">
        <v>0.71</v>
      </c>
      <c r="D32" s="6">
        <f t="shared" si="0"/>
        <v>0.71</v>
      </c>
      <c r="E32" s="6">
        <f t="shared" si="3"/>
        <v>0.71</v>
      </c>
      <c r="F32" s="6">
        <f t="shared" si="1"/>
        <v>0.71</v>
      </c>
      <c r="G32" s="8" t="s">
        <v>74</v>
      </c>
      <c r="H32" s="8" t="s">
        <v>75</v>
      </c>
      <c r="I32" s="10" t="s">
        <v>209</v>
      </c>
      <c r="J32" s="10" t="s">
        <v>240</v>
      </c>
      <c r="K32" s="8" t="s">
        <v>60</v>
      </c>
      <c r="L32" s="8" t="s">
        <v>76</v>
      </c>
      <c r="M32" s="8"/>
      <c r="N32" s="7"/>
      <c r="O32" s="8"/>
      <c r="P32" s="5">
        <f t="shared" si="2"/>
        <v>-1</v>
      </c>
      <c r="Q32" s="8" t="s">
        <v>37</v>
      </c>
    </row>
    <row r="33" spans="1:17" ht="12.75" x14ac:dyDescent="0.2">
      <c r="A33" s="4" t="s">
        <v>126</v>
      </c>
      <c r="B33" s="5">
        <v>1</v>
      </c>
      <c r="C33" s="6">
        <v>0.77</v>
      </c>
      <c r="D33" s="6">
        <f t="shared" si="0"/>
        <v>0.77</v>
      </c>
      <c r="E33" s="6">
        <f t="shared" si="3"/>
        <v>0.77</v>
      </c>
      <c r="F33" s="6">
        <f t="shared" si="1"/>
        <v>0.77</v>
      </c>
      <c r="G33" s="8" t="s">
        <v>127</v>
      </c>
      <c r="H33" s="8" t="s">
        <v>128</v>
      </c>
      <c r="I33" s="10" t="s">
        <v>210</v>
      </c>
      <c r="J33" s="10" t="s">
        <v>241</v>
      </c>
      <c r="K33" s="8" t="s">
        <v>60</v>
      </c>
      <c r="L33" s="8" t="s">
        <v>129</v>
      </c>
      <c r="M33" s="8"/>
      <c r="N33" s="7"/>
      <c r="O33" s="8"/>
      <c r="P33" s="5">
        <f t="shared" si="2"/>
        <v>-1</v>
      </c>
      <c r="Q33" s="8" t="s">
        <v>38</v>
      </c>
    </row>
    <row r="34" spans="1:17" ht="12.75" x14ac:dyDescent="0.2">
      <c r="A34" s="4" t="s">
        <v>21</v>
      </c>
      <c r="B34" s="5">
        <v>2</v>
      </c>
      <c r="C34" s="6">
        <v>0.1</v>
      </c>
      <c r="D34" s="6">
        <f t="shared" si="0"/>
        <v>0.2</v>
      </c>
      <c r="E34" s="6">
        <f t="shared" si="3"/>
        <v>0.1</v>
      </c>
      <c r="F34" s="6">
        <f t="shared" si="1"/>
        <v>0.2</v>
      </c>
      <c r="G34" s="8" t="s">
        <v>74</v>
      </c>
      <c r="H34" s="8" t="s">
        <v>258</v>
      </c>
      <c r="I34" s="10" t="s">
        <v>259</v>
      </c>
      <c r="J34" s="10" t="s">
        <v>260</v>
      </c>
      <c r="K34" s="8" t="s">
        <v>60</v>
      </c>
      <c r="L34" s="8" t="s">
        <v>261</v>
      </c>
      <c r="M34" s="8"/>
      <c r="N34" s="7"/>
      <c r="O34" s="8"/>
      <c r="P34" s="5">
        <f t="shared" si="2"/>
        <v>-2</v>
      </c>
      <c r="Q34" s="8" t="s">
        <v>51</v>
      </c>
    </row>
    <row r="35" spans="1:17" ht="12.75" x14ac:dyDescent="0.2">
      <c r="A35" s="4" t="s">
        <v>160</v>
      </c>
      <c r="B35" s="5">
        <v>1</v>
      </c>
      <c r="C35" s="6">
        <v>0.46</v>
      </c>
      <c r="D35" s="6">
        <f t="shared" si="0"/>
        <v>0.46</v>
      </c>
      <c r="E35" s="6">
        <f t="shared" si="3"/>
        <v>0.46</v>
      </c>
      <c r="F35" s="6">
        <f t="shared" si="1"/>
        <v>0.46</v>
      </c>
      <c r="G35" s="8" t="s">
        <v>162</v>
      </c>
      <c r="H35" s="8" t="s">
        <v>161</v>
      </c>
      <c r="I35" s="10" t="s">
        <v>211</v>
      </c>
      <c r="J35" s="10" t="s">
        <v>242</v>
      </c>
      <c r="K35" s="8" t="s">
        <v>60</v>
      </c>
      <c r="L35" s="8" t="s">
        <v>163</v>
      </c>
      <c r="M35" s="8"/>
      <c r="N35" s="7"/>
      <c r="O35" s="8"/>
      <c r="P35" s="5">
        <f t="shared" si="2"/>
        <v>-1</v>
      </c>
      <c r="Q35" s="8" t="s">
        <v>17</v>
      </c>
    </row>
    <row r="36" spans="1:17" ht="12.75" x14ac:dyDescent="0.2">
      <c r="A36" s="4" t="s">
        <v>168</v>
      </c>
      <c r="B36" s="5">
        <v>3</v>
      </c>
      <c r="C36" s="6">
        <v>3.55</v>
      </c>
      <c r="D36" s="6">
        <f t="shared" si="0"/>
        <v>10.649999999999999</v>
      </c>
      <c r="E36" s="6">
        <f t="shared" si="3"/>
        <v>3.55</v>
      </c>
      <c r="F36" s="6">
        <f t="shared" si="1"/>
        <v>10.649999999999999</v>
      </c>
      <c r="G36" s="8" t="s">
        <v>169</v>
      </c>
      <c r="H36" s="8" t="s">
        <v>170</v>
      </c>
      <c r="I36" s="10" t="s">
        <v>212</v>
      </c>
      <c r="J36" s="10" t="s">
        <v>243</v>
      </c>
      <c r="K36" s="8" t="s">
        <v>60</v>
      </c>
      <c r="L36" s="8" t="s">
        <v>171</v>
      </c>
      <c r="M36" s="8"/>
      <c r="N36" s="7"/>
      <c r="O36" s="8"/>
      <c r="P36" s="5">
        <f t="shared" si="2"/>
        <v>-3</v>
      </c>
      <c r="Q36" s="8" t="s">
        <v>52</v>
      </c>
    </row>
    <row r="37" spans="1:17" ht="12.75" x14ac:dyDescent="0.2">
      <c r="A37" s="4" t="s">
        <v>66</v>
      </c>
      <c r="B37" s="5">
        <v>1</v>
      </c>
      <c r="C37" s="6">
        <v>3.77</v>
      </c>
      <c r="D37" s="6">
        <f t="shared" si="0"/>
        <v>3.77</v>
      </c>
      <c r="E37" s="6">
        <f t="shared" si="3"/>
        <v>3.77</v>
      </c>
      <c r="F37" s="6">
        <f t="shared" si="1"/>
        <v>3.77</v>
      </c>
      <c r="G37" s="8" t="s">
        <v>67</v>
      </c>
      <c r="H37" s="8" t="s">
        <v>68</v>
      </c>
      <c r="I37" s="10" t="s">
        <v>213</v>
      </c>
      <c r="J37" s="10" t="s">
        <v>244</v>
      </c>
      <c r="K37" s="8" t="s">
        <v>60</v>
      </c>
      <c r="L37" s="8" t="s">
        <v>69</v>
      </c>
      <c r="M37" s="8"/>
      <c r="N37" s="7"/>
      <c r="O37" s="8"/>
      <c r="P37" s="5">
        <f t="shared" si="2"/>
        <v>-1</v>
      </c>
      <c r="Q37" s="8" t="s">
        <v>54</v>
      </c>
    </row>
    <row r="38" spans="1:17" ht="12.75" x14ac:dyDescent="0.2">
      <c r="A38" s="4" t="s">
        <v>62</v>
      </c>
      <c r="B38" s="5">
        <v>1</v>
      </c>
      <c r="C38" s="6">
        <v>0.71</v>
      </c>
      <c r="D38" s="6">
        <f t="shared" si="0"/>
        <v>0.71</v>
      </c>
      <c r="E38" s="6">
        <f t="shared" si="3"/>
        <v>0.71</v>
      </c>
      <c r="F38" s="6">
        <f t="shared" si="1"/>
        <v>0.71</v>
      </c>
      <c r="G38" s="8" t="s">
        <v>63</v>
      </c>
      <c r="H38" s="8" t="s">
        <v>64</v>
      </c>
      <c r="I38" s="10" t="s">
        <v>214</v>
      </c>
      <c r="J38" s="10" t="s">
        <v>245</v>
      </c>
      <c r="K38" s="8" t="s">
        <v>60</v>
      </c>
      <c r="L38" s="8" t="s">
        <v>65</v>
      </c>
      <c r="M38" s="8"/>
      <c r="N38" s="7"/>
      <c r="O38" s="8"/>
      <c r="P38" s="5">
        <f t="shared" si="2"/>
        <v>-1</v>
      </c>
      <c r="Q38" s="8" t="s">
        <v>55</v>
      </c>
    </row>
    <row r="39" spans="1:17" ht="15.75" customHeight="1" x14ac:dyDescent="0.2">
      <c r="A39" s="4" t="s">
        <v>131</v>
      </c>
      <c r="B39" s="5">
        <v>2</v>
      </c>
      <c r="C39" s="6">
        <v>0.71</v>
      </c>
      <c r="D39" s="6">
        <f t="shared" ref="D39:D40" si="8">B39*C39</f>
        <v>1.42</v>
      </c>
      <c r="E39" s="6">
        <f t="shared" ref="E39:E40" si="9">C39</f>
        <v>0.71</v>
      </c>
      <c r="F39" s="6">
        <f t="shared" ref="F39:F40" si="10">B39*E39</f>
        <v>1.42</v>
      </c>
      <c r="G39" s="8" t="s">
        <v>132</v>
      </c>
      <c r="H39" s="8" t="s">
        <v>133</v>
      </c>
      <c r="I39" s="10" t="s">
        <v>215</v>
      </c>
      <c r="J39" s="10" t="s">
        <v>246</v>
      </c>
      <c r="K39" s="8" t="s">
        <v>60</v>
      </c>
      <c r="L39" s="8" t="s">
        <v>134</v>
      </c>
      <c r="M39" s="8"/>
      <c r="N39" s="8"/>
      <c r="O39" s="8"/>
      <c r="P39" s="5">
        <f t="shared" si="2"/>
        <v>-2</v>
      </c>
      <c r="Q39" s="8" t="s">
        <v>42</v>
      </c>
    </row>
    <row r="40" spans="1:17" ht="15.75" customHeight="1" x14ac:dyDescent="0.2">
      <c r="A40" s="4" t="s">
        <v>130</v>
      </c>
      <c r="B40" s="5">
        <v>3</v>
      </c>
      <c r="C40" s="6">
        <v>0.32</v>
      </c>
      <c r="D40" s="6">
        <f t="shared" si="8"/>
        <v>0.96</v>
      </c>
      <c r="E40" s="6">
        <f t="shared" si="9"/>
        <v>0.32</v>
      </c>
      <c r="F40" s="6">
        <f t="shared" si="10"/>
        <v>0.96</v>
      </c>
      <c r="G40" s="8" t="s">
        <v>74</v>
      </c>
      <c r="H40" s="8" t="s">
        <v>135</v>
      </c>
      <c r="I40" s="10" t="s">
        <v>216</v>
      </c>
      <c r="J40" s="10" t="s">
        <v>247</v>
      </c>
      <c r="K40" s="8" t="s">
        <v>60</v>
      </c>
      <c r="L40" s="8" t="s">
        <v>136</v>
      </c>
      <c r="M40" s="8"/>
      <c r="N40" s="8"/>
      <c r="O40" s="8"/>
      <c r="P40" s="5">
        <f t="shared" si="2"/>
        <v>-3</v>
      </c>
      <c r="Q40" s="8" t="s">
        <v>43</v>
      </c>
    </row>
    <row r="41" spans="1:17" ht="15.75" customHeight="1" x14ac:dyDescent="0.2">
      <c r="C41" s="8" t="s">
        <v>57</v>
      </c>
      <c r="D41" s="9">
        <f t="shared" ref="D40:D41" si="11">SUM(D5:D40)</f>
        <v>78.63</v>
      </c>
      <c r="E41" s="8" t="s">
        <v>56</v>
      </c>
      <c r="F41" s="9">
        <f t="shared" ref="F40:F41" si="12">SUM(F5:F40)</f>
        <v>78.63</v>
      </c>
    </row>
  </sheetData>
  <mergeCells count="1">
    <mergeCell ref="A1:Q1"/>
  </mergeCells>
  <hyperlinks>
    <hyperlink ref="I3" r:id="rId1" xr:uid="{1EE69E9E-9CF5-415C-801C-1D42F6FA39EE}"/>
    <hyperlink ref="I4" r:id="rId2" xr:uid="{40793A97-EA0B-4202-AFC2-E25D67F0A06A}"/>
    <hyperlink ref="I5" r:id="rId3" xr:uid="{9BC0A412-79CD-479A-AA31-0FF1299E7889}"/>
    <hyperlink ref="I6" r:id="rId4" xr:uid="{BC3F95D1-31D3-4A10-BFB0-FEB2CACC117A}"/>
    <hyperlink ref="I7" r:id="rId5" xr:uid="{1853BBE4-EB1D-439B-AE9C-F2A4CDCE592C}"/>
    <hyperlink ref="I8" r:id="rId6" xr:uid="{23C048C2-C50C-406D-A2B0-CCE55FCB4173}"/>
    <hyperlink ref="I9" r:id="rId7" xr:uid="{B4E33A16-EA32-4587-BFB3-A7C022CE114E}"/>
    <hyperlink ref="I10" r:id="rId8" xr:uid="{255FE031-D986-4861-BFE7-AB586DB08C98}"/>
    <hyperlink ref="I11" r:id="rId9" xr:uid="{73442BBE-8D7A-4A54-92A1-16C2D48EB519}"/>
    <hyperlink ref="I12" r:id="rId10" xr:uid="{BD4AF770-2C15-44BA-857F-938445882347}"/>
    <hyperlink ref="I13" r:id="rId11" xr:uid="{B4AF57AE-0518-4AD3-A03D-3935E9A095BF}"/>
    <hyperlink ref="I15" r:id="rId12" xr:uid="{8EA6A323-E06D-4156-986E-2052026E7943}"/>
    <hyperlink ref="I14" r:id="rId13" xr:uid="{24920D35-1AE5-4F0F-81C3-A93FF464DE6D}"/>
    <hyperlink ref="I16" r:id="rId14" xr:uid="{D6451BCB-018B-4323-943D-07A6E8535CF5}"/>
    <hyperlink ref="I17" r:id="rId15" xr:uid="{752D09C0-AABB-4C44-8CF5-83A0E206A16D}"/>
    <hyperlink ref="I18" r:id="rId16" xr:uid="{ECAA7B48-7C84-455F-8572-2487EA463728}"/>
    <hyperlink ref="I19" r:id="rId17" xr:uid="{B623BDED-D003-434D-8040-DD0F98055F8E}"/>
    <hyperlink ref="I20" r:id="rId18" xr:uid="{3A2131FD-4733-40D7-BB54-2A09C2CC2323}"/>
    <hyperlink ref="I21" r:id="rId19" xr:uid="{9911FEA8-F68A-4C34-A23E-DFDF3F5F52C4}"/>
    <hyperlink ref="I22" r:id="rId20" xr:uid="{DBF00FE0-2343-40E8-8945-5E999EDD6AFE}"/>
    <hyperlink ref="I23" r:id="rId21" xr:uid="{89CAEAEF-8126-4E70-8DA1-F8BB6653A191}"/>
    <hyperlink ref="I24" r:id="rId22" xr:uid="{23D1E758-5C38-4BC7-BA64-58FD8C08DC2B}"/>
    <hyperlink ref="I25" r:id="rId23" xr:uid="{12927891-2EB0-4C68-83BC-0E6C97C5E4F0}"/>
    <hyperlink ref="I26" r:id="rId24" xr:uid="{3F274505-DBA4-43B7-9558-13DB281033DC}"/>
    <hyperlink ref="I27" r:id="rId25" xr:uid="{5C394CA1-5313-4D38-A861-E50D40D505CC}"/>
    <hyperlink ref="I28" r:id="rId26" xr:uid="{42A7CC4D-85DE-4AD2-9382-C0EB45C1C95C}"/>
    <hyperlink ref="I29" r:id="rId27" xr:uid="{25181389-4B87-4586-A97C-0A8CB3A5E179}"/>
    <hyperlink ref="I32" r:id="rId28" xr:uid="{C7DD35A4-ED9D-4C69-B301-607A86192B8E}"/>
    <hyperlink ref="I33" r:id="rId29" xr:uid="{C4B1ED7A-D46B-4433-8E18-7C43597A43FC}"/>
    <hyperlink ref="I35" r:id="rId30" xr:uid="{8C1FA9AB-BF98-48CE-A151-19BEE682DBEA}"/>
    <hyperlink ref="I36" r:id="rId31" xr:uid="{4A7FAC4D-9D62-4B68-AA2D-5BCA9EC77F29}"/>
    <hyperlink ref="I37" r:id="rId32" xr:uid="{00CD0ED5-4C61-4A08-9F6A-5CFF3B75A7A4}"/>
    <hyperlink ref="I38" r:id="rId33" xr:uid="{40788476-2F32-458C-BD69-FC4E1967E209}"/>
    <hyperlink ref="I39" r:id="rId34" xr:uid="{F34B2D45-372F-4200-A1E4-168FBFD1BE75}"/>
    <hyperlink ref="I40" r:id="rId35" xr:uid="{64E4C49D-2401-4763-B23B-F38BAC3E98FD}"/>
    <hyperlink ref="J3" r:id="rId36" xr:uid="{AE5C57B0-3975-49A0-9F10-867BFF0C511A}"/>
    <hyperlink ref="J4" r:id="rId37" xr:uid="{C9B7A6DB-8BF0-4D84-80C1-7F7ECC52AFBD}"/>
    <hyperlink ref="J5" r:id="rId38" xr:uid="{E469D8A1-7025-4DEE-B057-9290EC969475}"/>
    <hyperlink ref="J6" r:id="rId39" xr:uid="{C9DDB307-618C-4E05-8640-376D139B93EF}"/>
    <hyperlink ref="J7" r:id="rId40" xr:uid="{59E4D5DC-69FA-4F37-AAAF-4207DC87FF99}"/>
    <hyperlink ref="J8" r:id="rId41" xr:uid="{FA2F61BB-B5EC-4CAC-8A7E-A00301B969A7}"/>
    <hyperlink ref="J9" r:id="rId42" xr:uid="{92035C51-830F-47A3-9AF7-25115EF5A4CA}"/>
    <hyperlink ref="J10" r:id="rId43" xr:uid="{B95AC53F-FFD8-4526-B7C3-0A5EEDE7D1B2}"/>
    <hyperlink ref="J11" r:id="rId44" xr:uid="{94374666-9511-4B34-A2CB-6F3EF5A767EC}"/>
    <hyperlink ref="J12" r:id="rId45" xr:uid="{9A4CEB44-D505-407C-B5A6-7B3280A0B33B}"/>
    <hyperlink ref="J13" r:id="rId46" xr:uid="{0E50E3BC-2C9A-4872-A410-AA9D7DB9C199}"/>
    <hyperlink ref="J14" r:id="rId47" xr:uid="{06DB70E1-456D-4EAB-938C-BAF6D676CE10}"/>
    <hyperlink ref="J15" r:id="rId48" xr:uid="{8CF0CD79-EB8A-4E6D-B3A7-D6E2DA4069F7}"/>
    <hyperlink ref="J16" r:id="rId49" xr:uid="{1C31C9CC-5DAB-4BAA-986D-34DA2ECDDDCF}"/>
    <hyperlink ref="J17" r:id="rId50" xr:uid="{FC42D22D-4BE4-4AE6-9381-858BB598A0E0}"/>
    <hyperlink ref="J18" r:id="rId51" xr:uid="{E9FAB5B9-B37A-4282-A75B-4F9B75D55796}"/>
    <hyperlink ref="J19" r:id="rId52" xr:uid="{E877F378-04D2-443A-B3A6-72281D32377A}"/>
    <hyperlink ref="J20" r:id="rId53" xr:uid="{ADBD8819-49C5-46D8-AD00-AB3BDEEA0D9D}"/>
    <hyperlink ref="J21" r:id="rId54" xr:uid="{FE1613F9-5D8C-4A9E-B7AD-A94D9E839B37}"/>
    <hyperlink ref="J22" r:id="rId55" xr:uid="{8827A2D9-D128-446F-ACFF-D4EDAB5AD250}"/>
    <hyperlink ref="J23" r:id="rId56" xr:uid="{B5DB80EE-F028-4749-94EC-5DFE122AA3A9}"/>
    <hyperlink ref="J24" r:id="rId57" xr:uid="{CBD26CC1-92E2-4210-AA6D-B84B9B6E9FAC}"/>
    <hyperlink ref="J25" r:id="rId58" xr:uid="{204C57B2-24F0-4924-9838-CFDCF7064F11}"/>
    <hyperlink ref="J26" r:id="rId59" xr:uid="{0FD0A0B4-A620-4D6A-8D8F-A7E644F1947D}"/>
    <hyperlink ref="J27" r:id="rId60" xr:uid="{60C096EB-20ED-4C54-A5B3-F804B5DDAFB7}"/>
    <hyperlink ref="J28" r:id="rId61" xr:uid="{1C64A966-AC83-4C05-8F0B-18A2DA80EA56}"/>
    <hyperlink ref="J29" r:id="rId62" xr:uid="{BF1B5A6B-D2E5-4396-A058-445A47D7EDA5}"/>
    <hyperlink ref="J33" r:id="rId63" xr:uid="{B81519DB-E70A-43DD-8BA4-18A7D7AD6B11}"/>
    <hyperlink ref="J35" r:id="rId64" xr:uid="{56802FE4-F16D-4E08-AA6A-D24690C2321A}"/>
    <hyperlink ref="J36" r:id="rId65" xr:uid="{A862BCF8-0D68-455C-8D8D-D5D89F406DB8}"/>
    <hyperlink ref="J37" r:id="rId66" xr:uid="{C3D07864-52C5-4E04-8DA8-80A8AE130A87}"/>
    <hyperlink ref="J38" r:id="rId67" xr:uid="{D35109BC-4B9B-4629-B88C-59DC2DD8566D}"/>
    <hyperlink ref="J39" r:id="rId68" xr:uid="{2322B1B5-C5A3-4E94-8003-BD6B32BC1CF4}"/>
    <hyperlink ref="J40" r:id="rId69" xr:uid="{DE2905BA-86A4-49B3-88C1-05462AF53A80}"/>
    <hyperlink ref="I30" r:id="rId70" xr:uid="{DC73759F-3FDD-420E-B89A-7A9952898676}"/>
    <hyperlink ref="J32" r:id="rId71" xr:uid="{FF4E4D84-DA5F-4193-BF3C-776B33129549}"/>
    <hyperlink ref="J31" r:id="rId72" xr:uid="{2D4A5CFC-0649-431C-8058-4038507C75EE}"/>
    <hyperlink ref="I31" r:id="rId73" xr:uid="{DF76FD57-D796-4392-8BE0-DFB239421522}"/>
    <hyperlink ref="J30" r:id="rId74" xr:uid="{88BC990B-7AF1-4EC1-A6D9-04F317EBAD33}"/>
    <hyperlink ref="I34" r:id="rId75" display="https://www.digikey.com/en/products/detail/same-sky-formerly-cui-devices-/TS02-66-55-BK-100-LCR-D/15634297?gclsrc=aw.ds&amp;gad_source=1&amp;gad_campaignid=21273973101&amp;gbraid=0AAAAADrbLliDycjgJofPVWAUnaFDHZ4Dd&amp;gclid=Cj0KCQiA8KTNBhD_ARIsAOvp6DJm3WPshQnES_nFbYzMUKpoAK0on-aVhdqwQv7LWtPFiyFmBonGw60aAhTiEALw_wcB " xr:uid="{E1A08DAF-AECF-4592-BA50-775441E5921C}"/>
    <hyperlink ref="J34" r:id="rId76" xr:uid="{B73BC35A-3897-4F61-B017-5964ACFB94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Dirks</dc:creator>
  <cp:lastModifiedBy>Jessica Dirks</cp:lastModifiedBy>
  <dcterms:created xsi:type="dcterms:W3CDTF">2026-03-06T04:26:42Z</dcterms:created>
  <dcterms:modified xsi:type="dcterms:W3CDTF">2026-03-06T04:26:42Z</dcterms:modified>
</cp:coreProperties>
</file>